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60e52c16b5764a/Desktop/GRC Analyst Portfolio Projects/"/>
    </mc:Choice>
  </mc:AlternateContent>
  <xr:revisionPtr revIDLastSave="0" documentId="8_{B57F0D5F-19E7-46B2-BB34-346548D8BA2D}" xr6:coauthVersionLast="47" xr6:coauthVersionMax="47" xr10:uidLastSave="{00000000-0000-0000-0000-000000000000}"/>
  <bookViews>
    <workbookView xWindow="-120" yWindow="-120" windowWidth="29040" windowHeight="15720" xr2:uid="{7B5003A8-4D45-43EC-A440-721DE12CF483}"/>
  </bookViews>
  <sheets>
    <sheet name="Project Overview" sheetId="1" r:id="rId1"/>
    <sheet name="Asset Inventory" sheetId="2" r:id="rId2"/>
    <sheet name="Control Gaps" sheetId="3" r:id="rId3"/>
    <sheet name="Risk Register" sheetId="4" r:id="rId4"/>
    <sheet name="Remediation Plan" sheetId="5" r:id="rId5"/>
    <sheet name="Control Mapping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J9" i="4" s="1"/>
  <c r="J8" i="4"/>
  <c r="I8" i="4"/>
  <c r="I7" i="4"/>
  <c r="J7" i="4" s="1"/>
  <c r="I6" i="4"/>
  <c r="J6" i="4" s="1"/>
  <c r="I5" i="4"/>
  <c r="J5" i="4" s="1"/>
</calcChain>
</file>

<file path=xl/sharedStrings.xml><?xml version="1.0" encoding="utf-8"?>
<sst xmlns="http://schemas.openxmlformats.org/spreadsheetml/2006/main" count="245" uniqueCount="197">
  <si>
    <t xml:space="preserve">NovaTech Security Compliance GAP Analysis </t>
  </si>
  <si>
    <t>Company</t>
  </si>
  <si>
    <t>NovaTech Logistics, Inc.</t>
  </si>
  <si>
    <t>Industry</t>
  </si>
  <si>
    <t>Logistics and Supply Chain Technology</t>
  </si>
  <si>
    <t>Employee Count</t>
  </si>
  <si>
    <t>Locations</t>
  </si>
  <si>
    <t>Denver, CO and Dallas, TX</t>
  </si>
  <si>
    <t>Assessment Frameworks</t>
  </si>
  <si>
    <t>NIST CSF, ISO 27001, NIST SP 800-53</t>
  </si>
  <si>
    <t>Primary Objective</t>
  </si>
  <si>
    <t>Identify security risks, control gaps, and remediation priorities</t>
  </si>
  <si>
    <t>Risk Scoring Method</t>
  </si>
  <si>
    <t>Risk Score = Likelihood × Impact</t>
  </si>
  <si>
    <t>Risk Levels</t>
  </si>
  <si>
    <t>1-5</t>
  </si>
  <si>
    <t>Low</t>
  </si>
  <si>
    <t>6-10</t>
  </si>
  <si>
    <t>Moderate</t>
  </si>
  <si>
    <t>11-15</t>
  </si>
  <si>
    <t>High</t>
  </si>
  <si>
    <t>16-25</t>
  </si>
  <si>
    <t>Critical</t>
  </si>
  <si>
    <t>Asset Inventory</t>
  </si>
  <si>
    <t>Asset ID</t>
  </si>
  <si>
    <t>Asset Name</t>
  </si>
  <si>
    <t>Owner</t>
  </si>
  <si>
    <t>Data Type</t>
  </si>
  <si>
    <t>Criticality</t>
  </si>
  <si>
    <t>Notes</t>
  </si>
  <si>
    <t>A-01</t>
  </si>
  <si>
    <t>Employee Laptops and Workstations</t>
  </si>
  <si>
    <t>IT</t>
  </si>
  <si>
    <t>Business / Operational Data</t>
  </si>
  <si>
    <t>Used by staff to access logistics platforms and email</t>
  </si>
  <si>
    <t>A-02</t>
  </si>
  <si>
    <t>Transportation Management System (TMS)</t>
  </si>
  <si>
    <t>Operations</t>
  </si>
  <si>
    <t>Shipment / Operational Data</t>
  </si>
  <si>
    <t>Core cloud platform for logistics coordination</t>
  </si>
  <si>
    <t>A-03</t>
  </si>
  <si>
    <t>Microsoft 365 Email</t>
  </si>
  <si>
    <t>Email / Documents</t>
  </si>
  <si>
    <t>Primary communication channel</t>
  </si>
  <si>
    <t>A-04</t>
  </si>
  <si>
    <t>Shipment Tracking Database</t>
  </si>
  <si>
    <t>Customer Shipment Data</t>
  </si>
  <si>
    <t>Contains active shipment and customer records</t>
  </si>
  <si>
    <t>A-05</t>
  </si>
  <si>
    <t>Cloud Document Storage</t>
  </si>
  <si>
    <t>Contracts / Internal Files</t>
  </si>
  <si>
    <t>Stores vendor contracts and operational docs</t>
  </si>
  <si>
    <t>A-06</t>
  </si>
  <si>
    <t>Vendor Remote Access Accounts</t>
  </si>
  <si>
    <t>IT / Operations</t>
  </si>
  <si>
    <t>Access Credentials</t>
  </si>
  <si>
    <t>Used by third-party logistics partners</t>
  </si>
  <si>
    <t>Control Gap Analysis</t>
  </si>
  <si>
    <t>Domain</t>
  </si>
  <si>
    <t>Current Control</t>
  </si>
  <si>
    <t>Gap Identified</t>
  </si>
  <si>
    <t>Risk Implication</t>
  </si>
  <si>
    <t>Recommended Improvement</t>
  </si>
  <si>
    <t>Access Control</t>
  </si>
  <si>
    <t>Passwords required for user accounts</t>
  </si>
  <si>
    <t>MFA not enabled for all cloud services</t>
  </si>
  <si>
    <t>Higher risk of credential compromise</t>
  </si>
  <si>
    <t>Implement MFA for all users and admins</t>
  </si>
  <si>
    <t>Monitoring &amp; Detection</t>
  </si>
  <si>
    <t>Basic logs retained locally</t>
  </si>
  <si>
    <t>No centralized security monitoring / alerting</t>
  </si>
  <si>
    <t>Threats may go undetected</t>
  </si>
  <si>
    <t>Deploy centralized logging and alerts</t>
  </si>
  <si>
    <t>Vendor Access</t>
  </si>
  <si>
    <t>Remote access provided to third parties</t>
  </si>
  <si>
    <t>Vendor access not formally reviewed</t>
  </si>
  <si>
    <t>Excessive or stale access may persist</t>
  </si>
  <si>
    <t>Conduct quarterly vendor access reviews</t>
  </si>
  <si>
    <t>Incident Response</t>
  </si>
  <si>
    <t>Issues handled by IT as needed</t>
  </si>
  <si>
    <t>No documented incident response plan</t>
  </si>
  <si>
    <t>Slower containment and recovery</t>
  </si>
  <si>
    <t>Develop formal incident response plan</t>
  </si>
  <si>
    <t>Cloud Storage</t>
  </si>
  <si>
    <t>Shared folders used by staff</t>
  </si>
  <si>
    <t>Permissions not audited regularly</t>
  </si>
  <si>
    <t>Sensitive files may be overshared</t>
  </si>
  <si>
    <t>Perform quarterly permission audits</t>
  </si>
  <si>
    <t>Security Awareness</t>
  </si>
  <si>
    <t>Ad hoc reminders from IT</t>
  </si>
  <si>
    <t>No formal training program</t>
  </si>
  <si>
    <t>Increased phishing susceptibility</t>
  </si>
  <si>
    <t>Launch recurring awareness training</t>
  </si>
  <si>
    <t>Risk Register</t>
  </si>
  <si>
    <t>Risk ID</t>
  </si>
  <si>
    <t>Asset / Process</t>
  </si>
  <si>
    <t>Risk Description</t>
  </si>
  <si>
    <t>Threat</t>
  </si>
  <si>
    <t>Vulnerability</t>
  </si>
  <si>
    <t>Likelihood (1-5)</t>
  </si>
  <si>
    <t>Impact (1-5)</t>
  </si>
  <si>
    <t>Risk Score</t>
  </si>
  <si>
    <t>Risk Level</t>
  </si>
  <si>
    <t>Existing Controls</t>
  </si>
  <si>
    <t>Recommended Action</t>
  </si>
  <si>
    <t>NIST 800-53 Mapping</t>
  </si>
  <si>
    <t>Status</t>
  </si>
  <si>
    <t>R-01</t>
  </si>
  <si>
    <t>Phishing attack could compromise employee credentials</t>
  </si>
  <si>
    <t>Phishing</t>
  </si>
  <si>
    <t>MFA not enabled</t>
  </si>
  <si>
    <t>Passwords required</t>
  </si>
  <si>
    <t>Enable MFA and phishing training</t>
  </si>
  <si>
    <t>IA-2, AT-2</t>
  </si>
  <si>
    <t>IT Manager</t>
  </si>
  <si>
    <t>Open</t>
  </si>
  <si>
    <t>R-02</t>
  </si>
  <si>
    <t>Unauthorized access could disrupt logistics operations</t>
  </si>
  <si>
    <t>Unauthorized Access</t>
  </si>
  <si>
    <t>Weak privileged access controls</t>
  </si>
  <si>
    <t>Passwords and antivirus</t>
  </si>
  <si>
    <t>Apply least privilege and review admin access</t>
  </si>
  <si>
    <t>AC-2, AC-6</t>
  </si>
  <si>
    <t>Operations / IT</t>
  </si>
  <si>
    <t>R-03</t>
  </si>
  <si>
    <t>Vendor Remote Access</t>
  </si>
  <si>
    <t>Third-party accounts may retain unnecessary system access</t>
  </si>
  <si>
    <t>Vendor Misuse / Account Abuse</t>
  </si>
  <si>
    <t>No periodic vendor access review</t>
  </si>
  <si>
    <t>Vendor access approved ad hoc</t>
  </si>
  <si>
    <t>Quarterly vendor access review</t>
  </si>
  <si>
    <t>AC-2</t>
  </si>
  <si>
    <t>IT / Vendor Mgmt</t>
  </si>
  <si>
    <t>R-04</t>
  </si>
  <si>
    <t>Sensitive operational files could be overshared</t>
  </si>
  <si>
    <t>Data Exposure</t>
  </si>
  <si>
    <t>Permissions not audited</t>
  </si>
  <si>
    <t>Shared folders in use</t>
  </si>
  <si>
    <t>Quarterly permission audit</t>
  </si>
  <si>
    <t>AC-6</t>
  </si>
  <si>
    <t>R-05</t>
  </si>
  <si>
    <t>Incident Response Process</t>
  </si>
  <si>
    <t>Lack of formal response plan could delay containment</t>
  </si>
  <si>
    <t>Operational Delay</t>
  </si>
  <si>
    <t>IT responds informally</t>
  </si>
  <si>
    <t>Create incident response plan and run tabletop</t>
  </si>
  <si>
    <t>IR-8</t>
  </si>
  <si>
    <t>Security Lead</t>
  </si>
  <si>
    <t>Remediation Plan</t>
  </si>
  <si>
    <t>Action ID</t>
  </si>
  <si>
    <t>Linked Risk ID</t>
  </si>
  <si>
    <t>Remediation Action</t>
  </si>
  <si>
    <t>Priority</t>
  </si>
  <si>
    <t>Target Date</t>
  </si>
  <si>
    <t>Expected Outcome</t>
  </si>
  <si>
    <t>RA-01</t>
  </si>
  <si>
    <t>Implement MFA for all user accounts and administrators</t>
  </si>
  <si>
    <t>TBD</t>
  </si>
  <si>
    <t>Reduces likelihood of credential compromise</t>
  </si>
  <si>
    <t>RA-02</t>
  </si>
  <si>
    <t>Review privileged roles and enforce least privilege</t>
  </si>
  <si>
    <t>Limits unauthorized access to TMS</t>
  </si>
  <si>
    <t>RA-03</t>
  </si>
  <si>
    <t>Create quarterly vendor access review checklist</t>
  </si>
  <si>
    <t>Vendor Mgmt</t>
  </si>
  <si>
    <t>Removes stale third-party access</t>
  </si>
  <si>
    <t>RA-04</t>
  </si>
  <si>
    <t>Audit cloud storage permissions and restrict sharing</t>
  </si>
  <si>
    <t>Reduces accidental data exposure</t>
  </si>
  <si>
    <t>RA-05</t>
  </si>
  <si>
    <t>Develop incident response plan and run tabletop exercise</t>
  </si>
  <si>
    <t>Improves detection and response readiness</t>
  </si>
  <si>
    <t>Recommended Improvements Mapped to NIST SP 800-53</t>
  </si>
  <si>
    <t>Improvement</t>
  </si>
  <si>
    <t>NIST 800-53 Control</t>
  </si>
  <si>
    <t>Control Name</t>
  </si>
  <si>
    <t>Implement MFA for cloud services</t>
  </si>
  <si>
    <t>IA-2</t>
  </si>
  <si>
    <t>Identification and Authentication</t>
  </si>
  <si>
    <t>Supports stronger login security</t>
  </si>
  <si>
    <t>Quarterly vendor access reviews</t>
  </si>
  <si>
    <t>Account Management</t>
  </si>
  <si>
    <t>Ensures timely removal of stale access</t>
  </si>
  <si>
    <t>Enforce least privilege in TMS</t>
  </si>
  <si>
    <t>Least Privilege</t>
  </si>
  <si>
    <t>Limits unnecessary permissions</t>
  </si>
  <si>
    <t>Security awareness training</t>
  </si>
  <si>
    <t>AT-2</t>
  </si>
  <si>
    <t>Literacy and Awareness Training</t>
  </si>
  <si>
    <t>Reduces phishing susceptibility</t>
  </si>
  <si>
    <t>Document incident response plan</t>
  </si>
  <si>
    <t>Incident Response Plan</t>
  </si>
  <si>
    <t>Improves response coordination</t>
  </si>
  <si>
    <t>Backup and recovery validation</t>
  </si>
  <si>
    <t>CP-9</t>
  </si>
  <si>
    <t>System Backup</t>
  </si>
  <si>
    <t>Supports recovery and continuity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</si>
</sst>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4" fillId="2" borderId="0" xfId="0" applyFont="1" applyFill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/>
    <xf numFmtId="0" fontId="3" fillId="2" borderId="0" xfId="0" applyFont="1" applyFill="1" applyAlignment="1">
      <alignment vertical="top"/>
    </xf>
    <xf numFmtId="0" fontId="2" fillId="2" borderId="0" xfId="0" applyFont="1" applyFill="1"/>
    <xf numFmtId="0" fontId="4" fillId="2" borderId="0" xfId="0" applyFont="1" applyFill="1" applyAlignment="1">
      <alignment vertical="top"/>
    </xf>
    <xf numFmtId="0" fontId="5" fillId="2" borderId="0" xfId="0" applyFont="1" applyFill="1" applyAlignment="1">
      <alignment vertical="top"/>
    </xf>
    <xf numFmtId="0" fontId="5" fillId="2" borderId="0" xfId="0" applyFont="1" applyFill="1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B3DCE-4E5D-46EF-AC15-80C7B3C1C83C}">
  <dimension ref="B2:E15"/>
  <sheetViews>
    <sheetView showGridLines="0" tabSelected="1" workbookViewId="0">
      <selection activeCell="B2" sqref="B2:E2"/>
    </sheetView>
  </sheetViews>
  <sheetFormatPr defaultRowHeight="14.25" x14ac:dyDescent="0.2"/>
  <cols>
    <col min="1" max="1" width="9.140625" style="1"/>
    <col min="2" max="2" width="26.5703125" style="1" bestFit="1" customWidth="1"/>
    <col min="3" max="3" width="57.42578125" style="1" bestFit="1" customWidth="1"/>
    <col min="4" max="16384" width="9.140625" style="1"/>
  </cols>
  <sheetData>
    <row r="2" spans="2:5" ht="15" x14ac:dyDescent="0.2">
      <c r="B2" s="5" t="s">
        <v>0</v>
      </c>
      <c r="C2" s="6"/>
      <c r="D2" s="6"/>
      <c r="E2" s="6"/>
    </row>
    <row r="3" spans="2:5" x14ac:dyDescent="0.2">
      <c r="B3" s="2"/>
      <c r="C3" s="2"/>
    </row>
    <row r="4" spans="2:5" ht="15" x14ac:dyDescent="0.2">
      <c r="B4" s="3" t="s">
        <v>1</v>
      </c>
      <c r="C4" s="2" t="s">
        <v>2</v>
      </c>
    </row>
    <row r="5" spans="2:5" ht="15" x14ac:dyDescent="0.2">
      <c r="B5" s="3" t="s">
        <v>3</v>
      </c>
      <c r="C5" s="2" t="s">
        <v>4</v>
      </c>
    </row>
    <row r="6" spans="2:5" ht="15" x14ac:dyDescent="0.2">
      <c r="B6" s="3" t="s">
        <v>5</v>
      </c>
      <c r="C6" s="4">
        <v>220</v>
      </c>
    </row>
    <row r="7" spans="2:5" ht="15" x14ac:dyDescent="0.2">
      <c r="B7" s="3" t="s">
        <v>6</v>
      </c>
      <c r="C7" s="2" t="s">
        <v>7</v>
      </c>
    </row>
    <row r="8" spans="2:5" ht="15" x14ac:dyDescent="0.2">
      <c r="B8" s="3" t="s">
        <v>8</v>
      </c>
      <c r="C8" s="2" t="s">
        <v>9</v>
      </c>
    </row>
    <row r="9" spans="2:5" ht="28.5" x14ac:dyDescent="0.2">
      <c r="B9" s="3" t="s">
        <v>10</v>
      </c>
      <c r="C9" s="2" t="s">
        <v>11</v>
      </c>
    </row>
    <row r="10" spans="2:5" ht="15" x14ac:dyDescent="0.2">
      <c r="B10" s="3" t="s">
        <v>12</v>
      </c>
      <c r="C10" s="2" t="s">
        <v>13</v>
      </c>
    </row>
    <row r="11" spans="2:5" ht="15" x14ac:dyDescent="0.2">
      <c r="B11" s="3" t="s">
        <v>14</v>
      </c>
      <c r="C11" s="2"/>
    </row>
    <row r="12" spans="2:5" x14ac:dyDescent="0.2">
      <c r="B12" s="2" t="s">
        <v>15</v>
      </c>
      <c r="C12" s="2" t="s">
        <v>16</v>
      </c>
    </row>
    <row r="13" spans="2:5" x14ac:dyDescent="0.2">
      <c r="B13" s="2" t="s">
        <v>17</v>
      </c>
      <c r="C13" s="2" t="s">
        <v>18</v>
      </c>
    </row>
    <row r="14" spans="2:5" x14ac:dyDescent="0.2">
      <c r="B14" s="2" t="s">
        <v>19</v>
      </c>
      <c r="C14" s="2" t="s">
        <v>20</v>
      </c>
    </row>
    <row r="15" spans="2:5" x14ac:dyDescent="0.2">
      <c r="B15" s="2" t="s">
        <v>21</v>
      </c>
      <c r="C15" s="2" t="s">
        <v>22</v>
      </c>
    </row>
  </sheetData>
  <mergeCells count="1"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DBD3A-372E-4731-9E52-5180F5691FE5}">
  <dimension ref="B2:G10"/>
  <sheetViews>
    <sheetView showGridLines="0" workbookViewId="0">
      <selection activeCell="D4" sqref="D4"/>
    </sheetView>
  </sheetViews>
  <sheetFormatPr defaultRowHeight="14.25" x14ac:dyDescent="0.2"/>
  <cols>
    <col min="1" max="1" width="9.140625" style="1"/>
    <col min="2" max="2" width="9.140625" style="8"/>
    <col min="3" max="3" width="42.140625" style="8" bestFit="1" customWidth="1"/>
    <col min="4" max="4" width="14.85546875" style="8" bestFit="1" customWidth="1"/>
    <col min="5" max="5" width="27.85546875" style="8" bestFit="1" customWidth="1"/>
    <col min="6" max="6" width="10.42578125" style="8" bestFit="1" customWidth="1"/>
    <col min="7" max="7" width="51.28515625" style="8" bestFit="1" customWidth="1"/>
    <col min="8" max="16384" width="9.140625" style="1"/>
  </cols>
  <sheetData>
    <row r="2" spans="2:7" ht="15.75" x14ac:dyDescent="0.2">
      <c r="B2" s="11" t="s">
        <v>23</v>
      </c>
      <c r="C2" s="11"/>
      <c r="D2" s="11"/>
      <c r="E2" s="11"/>
      <c r="F2" s="11"/>
      <c r="G2" s="11"/>
    </row>
    <row r="3" spans="2:7" x14ac:dyDescent="0.2">
      <c r="B3" s="7"/>
      <c r="C3" s="7"/>
      <c r="D3" s="7"/>
      <c r="E3" s="7"/>
      <c r="F3" s="7"/>
      <c r="G3" s="7"/>
    </row>
    <row r="4" spans="2:7" s="10" customFormat="1" ht="15" x14ac:dyDescent="0.2">
      <c r="B4" s="9" t="s">
        <v>24</v>
      </c>
      <c r="C4" s="9" t="s">
        <v>25</v>
      </c>
      <c r="D4" s="9" t="s">
        <v>26</v>
      </c>
      <c r="E4" s="9" t="s">
        <v>27</v>
      </c>
      <c r="F4" s="9" t="s">
        <v>28</v>
      </c>
      <c r="G4" s="9" t="s">
        <v>29</v>
      </c>
    </row>
    <row r="5" spans="2:7" x14ac:dyDescent="0.2">
      <c r="B5" s="7" t="s">
        <v>30</v>
      </c>
      <c r="C5" s="7" t="s">
        <v>31</v>
      </c>
      <c r="D5" s="7" t="s">
        <v>32</v>
      </c>
      <c r="E5" s="7" t="s">
        <v>33</v>
      </c>
      <c r="F5" s="7" t="s">
        <v>20</v>
      </c>
      <c r="G5" s="7" t="s">
        <v>34</v>
      </c>
    </row>
    <row r="6" spans="2:7" x14ac:dyDescent="0.2">
      <c r="B6" s="7" t="s">
        <v>35</v>
      </c>
      <c r="C6" s="7" t="s">
        <v>36</v>
      </c>
      <c r="D6" s="7" t="s">
        <v>37</v>
      </c>
      <c r="E6" s="7" t="s">
        <v>38</v>
      </c>
      <c r="F6" s="7" t="s">
        <v>22</v>
      </c>
      <c r="G6" s="7" t="s">
        <v>39</v>
      </c>
    </row>
    <row r="7" spans="2:7" x14ac:dyDescent="0.2">
      <c r="B7" s="7" t="s">
        <v>40</v>
      </c>
      <c r="C7" s="7" t="s">
        <v>41</v>
      </c>
      <c r="D7" s="7" t="s">
        <v>32</v>
      </c>
      <c r="E7" s="7" t="s">
        <v>42</v>
      </c>
      <c r="F7" s="7" t="s">
        <v>20</v>
      </c>
      <c r="G7" s="7" t="s">
        <v>43</v>
      </c>
    </row>
    <row r="8" spans="2:7" x14ac:dyDescent="0.2">
      <c r="B8" s="7" t="s">
        <v>44</v>
      </c>
      <c r="C8" s="7" t="s">
        <v>45</v>
      </c>
      <c r="D8" s="7" t="s">
        <v>37</v>
      </c>
      <c r="E8" s="7" t="s">
        <v>46</v>
      </c>
      <c r="F8" s="7" t="s">
        <v>22</v>
      </c>
      <c r="G8" s="7" t="s">
        <v>47</v>
      </c>
    </row>
    <row r="9" spans="2:7" x14ac:dyDescent="0.2">
      <c r="B9" s="7" t="s">
        <v>48</v>
      </c>
      <c r="C9" s="7" t="s">
        <v>49</v>
      </c>
      <c r="D9" s="7" t="s">
        <v>32</v>
      </c>
      <c r="E9" s="7" t="s">
        <v>50</v>
      </c>
      <c r="F9" s="7" t="s">
        <v>20</v>
      </c>
      <c r="G9" s="7" t="s">
        <v>51</v>
      </c>
    </row>
    <row r="10" spans="2:7" x14ac:dyDescent="0.2">
      <c r="B10" s="7" t="s">
        <v>52</v>
      </c>
      <c r="C10" s="7" t="s">
        <v>53</v>
      </c>
      <c r="D10" s="7" t="s">
        <v>54</v>
      </c>
      <c r="E10" s="7" t="s">
        <v>55</v>
      </c>
      <c r="F10" s="7" t="s">
        <v>20</v>
      </c>
      <c r="G10" s="7" t="s">
        <v>56</v>
      </c>
    </row>
  </sheetData>
  <mergeCells count="1">
    <mergeCell ref="B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C3106-BABE-4156-BE5C-69CCEA7BDC74}">
  <dimension ref="B2:F10"/>
  <sheetViews>
    <sheetView showGridLines="0" workbookViewId="0">
      <selection activeCell="B2" sqref="B2:F2"/>
    </sheetView>
  </sheetViews>
  <sheetFormatPr defaultRowHeight="14.25" x14ac:dyDescent="0.2"/>
  <cols>
    <col min="1" max="1" width="9.140625" style="1"/>
    <col min="2" max="2" width="22.28515625" style="8" bestFit="1" customWidth="1"/>
    <col min="3" max="3" width="39" style="8" bestFit="1" customWidth="1"/>
    <col min="4" max="4" width="41.85546875" style="8" bestFit="1" customWidth="1"/>
    <col min="5" max="5" width="37.7109375" style="8" bestFit="1" customWidth="1"/>
    <col min="6" max="6" width="40.42578125" style="8" bestFit="1" customWidth="1"/>
    <col min="7" max="16384" width="9.140625" style="1"/>
  </cols>
  <sheetData>
    <row r="2" spans="2:6" s="10" customFormat="1" ht="15.75" x14ac:dyDescent="0.2">
      <c r="B2" s="11" t="s">
        <v>57</v>
      </c>
      <c r="C2" s="12"/>
      <c r="D2" s="12"/>
      <c r="E2" s="12"/>
      <c r="F2" s="12"/>
    </row>
    <row r="3" spans="2:6" x14ac:dyDescent="0.2">
      <c r="B3" s="7"/>
      <c r="C3" s="7"/>
      <c r="D3" s="7"/>
      <c r="E3" s="7"/>
      <c r="F3" s="7"/>
    </row>
    <row r="4" spans="2:6" s="10" customFormat="1" ht="15" x14ac:dyDescent="0.2">
      <c r="B4" s="9" t="s">
        <v>58</v>
      </c>
      <c r="C4" s="9" t="s">
        <v>59</v>
      </c>
      <c r="D4" s="9" t="s">
        <v>60</v>
      </c>
      <c r="E4" s="9" t="s">
        <v>61</v>
      </c>
      <c r="F4" s="9" t="s">
        <v>62</v>
      </c>
    </row>
    <row r="5" spans="2:6" x14ac:dyDescent="0.2">
      <c r="B5" s="7" t="s">
        <v>63</v>
      </c>
      <c r="C5" s="7" t="s">
        <v>64</v>
      </c>
      <c r="D5" s="7" t="s">
        <v>65</v>
      </c>
      <c r="E5" s="7" t="s">
        <v>66</v>
      </c>
      <c r="F5" s="7" t="s">
        <v>67</v>
      </c>
    </row>
    <row r="6" spans="2:6" x14ac:dyDescent="0.2">
      <c r="B6" s="7" t="s">
        <v>68</v>
      </c>
      <c r="C6" s="7" t="s">
        <v>69</v>
      </c>
      <c r="D6" s="7" t="s">
        <v>70</v>
      </c>
      <c r="E6" s="7" t="s">
        <v>71</v>
      </c>
      <c r="F6" s="7" t="s">
        <v>72</v>
      </c>
    </row>
    <row r="7" spans="2:6" x14ac:dyDescent="0.2">
      <c r="B7" s="7" t="s">
        <v>73</v>
      </c>
      <c r="C7" s="7" t="s">
        <v>74</v>
      </c>
      <c r="D7" s="7" t="s">
        <v>75</v>
      </c>
      <c r="E7" s="7" t="s">
        <v>76</v>
      </c>
      <c r="F7" s="7" t="s">
        <v>77</v>
      </c>
    </row>
    <row r="8" spans="2:6" x14ac:dyDescent="0.2">
      <c r="B8" s="7" t="s">
        <v>78</v>
      </c>
      <c r="C8" s="7" t="s">
        <v>79</v>
      </c>
      <c r="D8" s="7" t="s">
        <v>80</v>
      </c>
      <c r="E8" s="7" t="s">
        <v>81</v>
      </c>
      <c r="F8" s="7" t="s">
        <v>82</v>
      </c>
    </row>
    <row r="9" spans="2:6" x14ac:dyDescent="0.2">
      <c r="B9" s="7" t="s">
        <v>83</v>
      </c>
      <c r="C9" s="7" t="s">
        <v>84</v>
      </c>
      <c r="D9" s="7" t="s">
        <v>85</v>
      </c>
      <c r="E9" s="7" t="s">
        <v>86</v>
      </c>
      <c r="F9" s="7" t="s">
        <v>87</v>
      </c>
    </row>
    <row r="10" spans="2:6" x14ac:dyDescent="0.2">
      <c r="B10" s="7" t="s">
        <v>88</v>
      </c>
      <c r="C10" s="7" t="s">
        <v>89</v>
      </c>
      <c r="D10" s="7" t="s">
        <v>90</v>
      </c>
      <c r="E10" s="7" t="s">
        <v>91</v>
      </c>
      <c r="F10" s="7" t="s">
        <v>92</v>
      </c>
    </row>
  </sheetData>
  <mergeCells count="1">
    <mergeCell ref="B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139C9-5272-4040-8294-D6962CCAB04E}">
  <dimension ref="B2:O9"/>
  <sheetViews>
    <sheetView showGridLines="0" workbookViewId="0">
      <selection activeCell="B2" sqref="B2:O2"/>
    </sheetView>
  </sheetViews>
  <sheetFormatPr defaultRowHeight="14.25" x14ac:dyDescent="0.2"/>
  <cols>
    <col min="1" max="1" width="9.140625" style="1"/>
    <col min="2" max="2" width="8.140625" style="1" bestFit="1" customWidth="1"/>
    <col min="3" max="3" width="42.140625" style="1" bestFit="1" customWidth="1"/>
    <col min="4" max="4" width="59.5703125" style="1" bestFit="1" customWidth="1"/>
    <col min="5" max="5" width="31.140625" style="1" bestFit="1" customWidth="1"/>
    <col min="6" max="6" width="38.140625" style="1" bestFit="1" customWidth="1"/>
    <col min="7" max="7" width="16.7109375" style="1" bestFit="1" customWidth="1"/>
    <col min="8" max="8" width="12.5703125" style="1" bestFit="1" customWidth="1"/>
    <col min="9" max="9" width="12" style="1" bestFit="1" customWidth="1"/>
    <col min="10" max="10" width="11.7109375" style="1" bestFit="1" customWidth="1"/>
    <col min="11" max="11" width="31.7109375" style="1" bestFit="1" customWidth="1"/>
    <col min="12" max="12" width="45.28515625" style="1" bestFit="1" customWidth="1"/>
    <col min="13" max="13" width="22.7109375" style="1" bestFit="1" customWidth="1"/>
    <col min="14" max="14" width="16.85546875" style="1" bestFit="1" customWidth="1"/>
    <col min="15" max="15" width="7.42578125" style="1" bestFit="1" customWidth="1"/>
    <col min="16" max="16384" width="9.140625" style="1"/>
  </cols>
  <sheetData>
    <row r="2" spans="2:15" s="13" customFormat="1" ht="15.75" x14ac:dyDescent="0.2">
      <c r="B2" s="11" t="s">
        <v>93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2:15" x14ac:dyDescent="0.2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2:15" s="10" customFormat="1" ht="15" x14ac:dyDescent="0.2">
      <c r="B4" s="9" t="s">
        <v>94</v>
      </c>
      <c r="C4" s="9" t="s">
        <v>95</v>
      </c>
      <c r="D4" s="9" t="s">
        <v>96</v>
      </c>
      <c r="E4" s="9" t="s">
        <v>97</v>
      </c>
      <c r="F4" s="9" t="s">
        <v>98</v>
      </c>
      <c r="G4" s="9" t="s">
        <v>99</v>
      </c>
      <c r="H4" s="9" t="s">
        <v>100</v>
      </c>
      <c r="I4" s="9" t="s">
        <v>101</v>
      </c>
      <c r="J4" s="9" t="s">
        <v>102</v>
      </c>
      <c r="K4" s="9" t="s">
        <v>103</v>
      </c>
      <c r="L4" s="9" t="s">
        <v>104</v>
      </c>
      <c r="M4" s="9" t="s">
        <v>105</v>
      </c>
      <c r="N4" s="9" t="s">
        <v>26</v>
      </c>
      <c r="O4" s="9" t="s">
        <v>106</v>
      </c>
    </row>
    <row r="5" spans="2:15" x14ac:dyDescent="0.2">
      <c r="B5" s="7" t="s">
        <v>107</v>
      </c>
      <c r="C5" s="7" t="s">
        <v>41</v>
      </c>
      <c r="D5" s="7" t="s">
        <v>108</v>
      </c>
      <c r="E5" s="7" t="s">
        <v>109</v>
      </c>
      <c r="F5" s="7" t="s">
        <v>110</v>
      </c>
      <c r="G5" s="14">
        <v>4</v>
      </c>
      <c r="H5" s="14">
        <v>4</v>
      </c>
      <c r="I5" s="14">
        <f>G5*H5</f>
        <v>16</v>
      </c>
      <c r="J5" s="7" t="str">
        <f>IF(I5&lt;=5,"Low",IF(I5&lt;=10,"Moderate",IF(I5&lt;=15,"High","Critical")))</f>
        <v>Critical</v>
      </c>
      <c r="K5" s="7" t="s">
        <v>111</v>
      </c>
      <c r="L5" s="7" t="s">
        <v>112</v>
      </c>
      <c r="M5" s="7" t="s">
        <v>113</v>
      </c>
      <c r="N5" s="7" t="s">
        <v>114</v>
      </c>
      <c r="O5" s="7" t="s">
        <v>115</v>
      </c>
    </row>
    <row r="6" spans="2:15" x14ac:dyDescent="0.2">
      <c r="B6" s="7" t="s">
        <v>116</v>
      </c>
      <c r="C6" s="7" t="s">
        <v>36</v>
      </c>
      <c r="D6" s="7" t="s">
        <v>117</v>
      </c>
      <c r="E6" s="7" t="s">
        <v>118</v>
      </c>
      <c r="F6" s="7" t="s">
        <v>119</v>
      </c>
      <c r="G6" s="14">
        <v>3</v>
      </c>
      <c r="H6" s="14">
        <v>5</v>
      </c>
      <c r="I6" s="14">
        <f>G6*H6</f>
        <v>15</v>
      </c>
      <c r="J6" s="7" t="str">
        <f>IF(I6&lt;=5,"Low",IF(I6&lt;=10,"Moderate",IF(I6&lt;=15,"High","Critical")))</f>
        <v>High</v>
      </c>
      <c r="K6" s="7" t="s">
        <v>120</v>
      </c>
      <c r="L6" s="7" t="s">
        <v>121</v>
      </c>
      <c r="M6" s="7" t="s">
        <v>122</v>
      </c>
      <c r="N6" s="7" t="s">
        <v>123</v>
      </c>
      <c r="O6" s="7" t="s">
        <v>115</v>
      </c>
    </row>
    <row r="7" spans="2:15" x14ac:dyDescent="0.2">
      <c r="B7" s="7" t="s">
        <v>124</v>
      </c>
      <c r="C7" s="7" t="s">
        <v>125</v>
      </c>
      <c r="D7" s="7" t="s">
        <v>126</v>
      </c>
      <c r="E7" s="7" t="s">
        <v>127</v>
      </c>
      <c r="F7" s="7" t="s">
        <v>128</v>
      </c>
      <c r="G7" s="14">
        <v>3</v>
      </c>
      <c r="H7" s="14">
        <v>4</v>
      </c>
      <c r="I7" s="14">
        <f>G7*H7</f>
        <v>12</v>
      </c>
      <c r="J7" s="7" t="str">
        <f>IF(I7&lt;=5,"Low",IF(I7&lt;=10,"Moderate",IF(I7&lt;=15,"High","Critical")))</f>
        <v>High</v>
      </c>
      <c r="K7" s="7" t="s">
        <v>129</v>
      </c>
      <c r="L7" s="7" t="s">
        <v>130</v>
      </c>
      <c r="M7" s="7" t="s">
        <v>131</v>
      </c>
      <c r="N7" s="7" t="s">
        <v>132</v>
      </c>
      <c r="O7" s="7" t="s">
        <v>115</v>
      </c>
    </row>
    <row r="8" spans="2:15" x14ac:dyDescent="0.2">
      <c r="B8" s="7" t="s">
        <v>133</v>
      </c>
      <c r="C8" s="7" t="s">
        <v>49</v>
      </c>
      <c r="D8" s="7" t="s">
        <v>134</v>
      </c>
      <c r="E8" s="7" t="s">
        <v>135</v>
      </c>
      <c r="F8" s="7" t="s">
        <v>136</v>
      </c>
      <c r="G8" s="14">
        <v>3</v>
      </c>
      <c r="H8" s="14">
        <v>4</v>
      </c>
      <c r="I8" s="14">
        <f>G8*H8</f>
        <v>12</v>
      </c>
      <c r="J8" s="7" t="str">
        <f>IF(I8&lt;=5,"Low",IF(I8&lt;=10,"Moderate",IF(I8&lt;=15,"High","Critical")))</f>
        <v>High</v>
      </c>
      <c r="K8" s="7" t="s">
        <v>137</v>
      </c>
      <c r="L8" s="7" t="s">
        <v>138</v>
      </c>
      <c r="M8" s="7" t="s">
        <v>139</v>
      </c>
      <c r="N8" s="7" t="s">
        <v>32</v>
      </c>
      <c r="O8" s="7" t="s">
        <v>115</v>
      </c>
    </row>
    <row r="9" spans="2:15" x14ac:dyDescent="0.2">
      <c r="B9" s="7" t="s">
        <v>140</v>
      </c>
      <c r="C9" s="7" t="s">
        <v>141</v>
      </c>
      <c r="D9" s="7" t="s">
        <v>142</v>
      </c>
      <c r="E9" s="7" t="s">
        <v>143</v>
      </c>
      <c r="F9" s="7" t="s">
        <v>80</v>
      </c>
      <c r="G9" s="14">
        <v>3</v>
      </c>
      <c r="H9" s="14">
        <v>4</v>
      </c>
      <c r="I9" s="14">
        <f>G9*H9</f>
        <v>12</v>
      </c>
      <c r="J9" s="7" t="str">
        <f>IF(I9&lt;=5,"Low",IF(I9&lt;=10,"Moderate",IF(I9&lt;=15,"High","Critical")))</f>
        <v>High</v>
      </c>
      <c r="K9" s="7" t="s">
        <v>144</v>
      </c>
      <c r="L9" s="7" t="s">
        <v>145</v>
      </c>
      <c r="M9" s="7" t="s">
        <v>146</v>
      </c>
      <c r="N9" s="7" t="s">
        <v>147</v>
      </c>
      <c r="O9" s="7" t="s">
        <v>115</v>
      </c>
    </row>
  </sheetData>
  <mergeCells count="1">
    <mergeCell ref="B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530AD-18F4-4C8E-9BE1-6B7426BDBBE1}">
  <dimension ref="B2:I9"/>
  <sheetViews>
    <sheetView showGridLines="0" workbookViewId="0">
      <selection activeCell="B2" sqref="B2:I2"/>
    </sheetView>
  </sheetViews>
  <sheetFormatPr defaultRowHeight="14.25" x14ac:dyDescent="0.2"/>
  <cols>
    <col min="1" max="1" width="9.140625" style="1"/>
    <col min="2" max="2" width="10" style="1" bestFit="1" customWidth="1"/>
    <col min="3" max="3" width="15.7109375" style="1" bestFit="1" customWidth="1"/>
    <col min="4" max="4" width="55.42578125" style="1" bestFit="1" customWidth="1"/>
    <col min="5" max="5" width="9.5703125" style="1" bestFit="1" customWidth="1"/>
    <col min="6" max="6" width="14.85546875" style="1" bestFit="1" customWidth="1"/>
    <col min="7" max="7" width="13.140625" style="1" bestFit="1" customWidth="1"/>
    <col min="8" max="8" width="7.42578125" style="1" bestFit="1" customWidth="1"/>
    <col min="9" max="16384" width="9.140625" style="1"/>
  </cols>
  <sheetData>
    <row r="2" spans="2:9" s="13" customFormat="1" ht="15.75" x14ac:dyDescent="0.2">
      <c r="B2" s="11" t="s">
        <v>148</v>
      </c>
      <c r="C2" s="12"/>
      <c r="D2" s="12"/>
      <c r="E2" s="12"/>
      <c r="F2" s="12"/>
      <c r="G2" s="12"/>
      <c r="H2" s="12"/>
      <c r="I2" s="12"/>
    </row>
    <row r="3" spans="2:9" x14ac:dyDescent="0.2">
      <c r="B3" s="7"/>
      <c r="C3" s="7"/>
      <c r="D3" s="7"/>
      <c r="E3" s="7"/>
      <c r="F3" s="7"/>
      <c r="G3" s="7"/>
      <c r="H3" s="7"/>
      <c r="I3" s="7"/>
    </row>
    <row r="4" spans="2:9" s="10" customFormat="1" ht="15" x14ac:dyDescent="0.2">
      <c r="B4" s="9" t="s">
        <v>149</v>
      </c>
      <c r="C4" s="9" t="s">
        <v>150</v>
      </c>
      <c r="D4" s="9" t="s">
        <v>151</v>
      </c>
      <c r="E4" s="9" t="s">
        <v>152</v>
      </c>
      <c r="F4" s="9" t="s">
        <v>26</v>
      </c>
      <c r="G4" s="9" t="s">
        <v>153</v>
      </c>
      <c r="H4" s="9" t="s">
        <v>106</v>
      </c>
      <c r="I4" s="9" t="s">
        <v>154</v>
      </c>
    </row>
    <row r="5" spans="2:9" x14ac:dyDescent="0.2">
      <c r="B5" s="7" t="s">
        <v>155</v>
      </c>
      <c r="C5" s="7" t="s">
        <v>107</v>
      </c>
      <c r="D5" s="7" t="s">
        <v>156</v>
      </c>
      <c r="E5" s="7" t="s">
        <v>20</v>
      </c>
      <c r="F5" s="7" t="s">
        <v>114</v>
      </c>
      <c r="G5" s="7" t="s">
        <v>157</v>
      </c>
      <c r="H5" s="7" t="s">
        <v>115</v>
      </c>
      <c r="I5" s="7" t="s">
        <v>158</v>
      </c>
    </row>
    <row r="6" spans="2:9" x14ac:dyDescent="0.2">
      <c r="B6" s="7" t="s">
        <v>159</v>
      </c>
      <c r="C6" s="7" t="s">
        <v>116</v>
      </c>
      <c r="D6" s="7" t="s">
        <v>160</v>
      </c>
      <c r="E6" s="7" t="s">
        <v>20</v>
      </c>
      <c r="F6" s="7" t="s">
        <v>123</v>
      </c>
      <c r="G6" s="7" t="s">
        <v>157</v>
      </c>
      <c r="H6" s="7" t="s">
        <v>115</v>
      </c>
      <c r="I6" s="7" t="s">
        <v>161</v>
      </c>
    </row>
    <row r="7" spans="2:9" x14ac:dyDescent="0.2">
      <c r="B7" s="7" t="s">
        <v>162</v>
      </c>
      <c r="C7" s="7" t="s">
        <v>124</v>
      </c>
      <c r="D7" s="7" t="s">
        <v>163</v>
      </c>
      <c r="E7" s="7" t="s">
        <v>18</v>
      </c>
      <c r="F7" s="7" t="s">
        <v>164</v>
      </c>
      <c r="G7" s="7" t="s">
        <v>157</v>
      </c>
      <c r="H7" s="7" t="s">
        <v>115</v>
      </c>
      <c r="I7" s="7" t="s">
        <v>165</v>
      </c>
    </row>
    <row r="8" spans="2:9" x14ac:dyDescent="0.2">
      <c r="B8" s="7" t="s">
        <v>166</v>
      </c>
      <c r="C8" s="7" t="s">
        <v>133</v>
      </c>
      <c r="D8" s="7" t="s">
        <v>167</v>
      </c>
      <c r="E8" s="7" t="s">
        <v>18</v>
      </c>
      <c r="F8" s="7" t="s">
        <v>32</v>
      </c>
      <c r="G8" s="7" t="s">
        <v>157</v>
      </c>
      <c r="H8" s="7" t="s">
        <v>115</v>
      </c>
      <c r="I8" s="7" t="s">
        <v>168</v>
      </c>
    </row>
    <row r="9" spans="2:9" x14ac:dyDescent="0.2">
      <c r="B9" s="7" t="s">
        <v>169</v>
      </c>
      <c r="C9" s="7" t="s">
        <v>140</v>
      </c>
      <c r="D9" s="7" t="s">
        <v>170</v>
      </c>
      <c r="E9" s="7" t="s">
        <v>20</v>
      </c>
      <c r="F9" s="7" t="s">
        <v>147</v>
      </c>
      <c r="G9" s="7" t="s">
        <v>157</v>
      </c>
      <c r="H9" s="7" t="s">
        <v>115</v>
      </c>
      <c r="I9" s="7" t="s">
        <v>171</v>
      </c>
    </row>
  </sheetData>
  <mergeCells count="1">
    <mergeCell ref="B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E23CB-16B9-4079-8111-5D0CA8CFC016}">
  <dimension ref="B2:E10"/>
  <sheetViews>
    <sheetView showGridLines="0" workbookViewId="0">
      <selection activeCell="C19" sqref="C19"/>
    </sheetView>
  </sheetViews>
  <sheetFormatPr defaultRowHeight="14.25" x14ac:dyDescent="0.2"/>
  <cols>
    <col min="1" max="1" width="9.140625" style="1"/>
    <col min="2" max="2" width="33.140625" style="1" bestFit="1" customWidth="1"/>
    <col min="3" max="3" width="21.5703125" style="1" bestFit="1" customWidth="1"/>
    <col min="4" max="4" width="32" style="1" bestFit="1" customWidth="1"/>
    <col min="5" max="5" width="35.5703125" style="1" bestFit="1" customWidth="1"/>
    <col min="6" max="16384" width="9.140625" style="1"/>
  </cols>
  <sheetData>
    <row r="2" spans="2:5" s="10" customFormat="1" ht="15.75" x14ac:dyDescent="0.2">
      <c r="B2" s="11" t="s">
        <v>172</v>
      </c>
      <c r="C2" s="12"/>
      <c r="D2" s="12"/>
      <c r="E2" s="12"/>
    </row>
    <row r="3" spans="2:5" x14ac:dyDescent="0.2">
      <c r="B3" s="7"/>
      <c r="C3" s="7"/>
      <c r="D3" s="7"/>
      <c r="E3" s="7"/>
    </row>
    <row r="4" spans="2:5" s="10" customFormat="1" ht="15" x14ac:dyDescent="0.2">
      <c r="B4" s="9" t="s">
        <v>173</v>
      </c>
      <c r="C4" s="9" t="s">
        <v>174</v>
      </c>
      <c r="D4" s="9" t="s">
        <v>175</v>
      </c>
      <c r="E4" s="9" t="s">
        <v>29</v>
      </c>
    </row>
    <row r="5" spans="2:5" x14ac:dyDescent="0.2">
      <c r="B5" s="7" t="s">
        <v>176</v>
      </c>
      <c r="C5" s="7" t="s">
        <v>177</v>
      </c>
      <c r="D5" s="7" t="s">
        <v>178</v>
      </c>
      <c r="E5" s="7" t="s">
        <v>179</v>
      </c>
    </row>
    <row r="6" spans="2:5" x14ac:dyDescent="0.2">
      <c r="B6" s="7" t="s">
        <v>180</v>
      </c>
      <c r="C6" s="7" t="s">
        <v>131</v>
      </c>
      <c r="D6" s="7" t="s">
        <v>181</v>
      </c>
      <c r="E6" s="7" t="s">
        <v>182</v>
      </c>
    </row>
    <row r="7" spans="2:5" x14ac:dyDescent="0.2">
      <c r="B7" s="7" t="s">
        <v>183</v>
      </c>
      <c r="C7" s="7" t="s">
        <v>139</v>
      </c>
      <c r="D7" s="7" t="s">
        <v>184</v>
      </c>
      <c r="E7" s="7" t="s">
        <v>185</v>
      </c>
    </row>
    <row r="8" spans="2:5" x14ac:dyDescent="0.2">
      <c r="B8" s="7" t="s">
        <v>186</v>
      </c>
      <c r="C8" s="7" t="s">
        <v>187</v>
      </c>
      <c r="D8" s="7" t="s">
        <v>188</v>
      </c>
      <c r="E8" s="7" t="s">
        <v>189</v>
      </c>
    </row>
    <row r="9" spans="2:5" x14ac:dyDescent="0.2">
      <c r="B9" s="7" t="s">
        <v>190</v>
      </c>
      <c r="C9" s="7" t="s">
        <v>146</v>
      </c>
      <c r="D9" s="7" t="s">
        <v>191</v>
      </c>
      <c r="E9" s="7" t="s">
        <v>192</v>
      </c>
    </row>
    <row r="10" spans="2:5" x14ac:dyDescent="0.2">
      <c r="B10" s="7" t="s">
        <v>193</v>
      </c>
      <c r="C10" s="7" t="s">
        <v>194</v>
      </c>
      <c r="D10" s="7" t="s">
        <v>195</v>
      </c>
      <c r="E10" s="7" t="s">
        <v>196</v>
      </c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Overview</vt:lpstr>
      <vt:lpstr>Asset Inventory</vt:lpstr>
      <vt:lpstr>Control Gaps</vt:lpstr>
      <vt:lpstr>Risk Register</vt:lpstr>
      <vt:lpstr>Remediation Plan</vt:lpstr>
      <vt:lpstr>Control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Dukes</dc:creator>
  <cp:lastModifiedBy>Malik Dukes</cp:lastModifiedBy>
  <dcterms:created xsi:type="dcterms:W3CDTF">2026-03-16T02:07:55Z</dcterms:created>
  <dcterms:modified xsi:type="dcterms:W3CDTF">2026-03-16T02:23:05Z</dcterms:modified>
</cp:coreProperties>
</file>