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lik\Downloads\"/>
    </mc:Choice>
  </mc:AlternateContent>
  <xr:revisionPtr revIDLastSave="0" documentId="13_ncr:1_{47888652-1423-4846-A907-CA53B4B629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et Inventory" sheetId="1" r:id="rId1"/>
    <sheet name="Control Gap Analysis" sheetId="2" r:id="rId2"/>
    <sheet name="Risk Regis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3" l="1"/>
  <c r="I6" i="3"/>
  <c r="I5" i="3"/>
</calcChain>
</file>

<file path=xl/sharedStrings.xml><?xml version="1.0" encoding="utf-8"?>
<sst xmlns="http://schemas.openxmlformats.org/spreadsheetml/2006/main" count="112" uniqueCount="98">
  <si>
    <t>Asset ID</t>
  </si>
  <si>
    <t>Asset Name</t>
  </si>
  <si>
    <t>Owner</t>
  </si>
  <si>
    <t>Data Type</t>
  </si>
  <si>
    <t>Criticality (Low/Med/High/Critical)</t>
  </si>
  <si>
    <t>Notes</t>
  </si>
  <si>
    <t>A-01</t>
  </si>
  <si>
    <t>Employee Laptops</t>
  </si>
  <si>
    <t>IT</t>
  </si>
  <si>
    <t>Business Data</t>
  </si>
  <si>
    <t>High</t>
  </si>
  <si>
    <t>Used by staff for daily work</t>
  </si>
  <si>
    <t>A-02</t>
  </si>
  <si>
    <t>Microsoft 365 Email</t>
  </si>
  <si>
    <t>Email/Data</t>
  </si>
  <si>
    <t>Primary communication platform</t>
  </si>
  <si>
    <t>A-03</t>
  </si>
  <si>
    <t>Customer Billing Database</t>
  </si>
  <si>
    <t>Finance</t>
  </si>
  <si>
    <t>Customer Financial Data</t>
  </si>
  <si>
    <t>Critical</t>
  </si>
  <si>
    <t>Stores billing records</t>
  </si>
  <si>
    <t>A-04</t>
  </si>
  <si>
    <t>HR System</t>
  </si>
  <si>
    <t>HR</t>
  </si>
  <si>
    <t>Employee PII</t>
  </si>
  <si>
    <t>Contains employee personal records</t>
  </si>
  <si>
    <t>A-05</t>
  </si>
  <si>
    <t>Cloud File Storage</t>
  </si>
  <si>
    <t>Internal Files</t>
  </si>
  <si>
    <t>Shared organizational documents</t>
  </si>
  <si>
    <t>Domain</t>
  </si>
  <si>
    <t>Current Control</t>
  </si>
  <si>
    <t>Gap Identified</t>
  </si>
  <si>
    <t>Risk Implication</t>
  </si>
  <si>
    <t>Recommended Improvement</t>
  </si>
  <si>
    <t>Access Control</t>
  </si>
  <si>
    <t>Password authentication only</t>
  </si>
  <si>
    <t>No MFA enabled</t>
  </si>
  <si>
    <t>Accounts vulnerable to compromise</t>
  </si>
  <si>
    <t>Implement MFA for all users</t>
  </si>
  <si>
    <t>Security Awareness</t>
  </si>
  <si>
    <t>Informal reminders</t>
  </si>
  <si>
    <t>No formal training program</t>
  </si>
  <si>
    <t>Higher phishing risk</t>
  </si>
  <si>
    <t>Implement quarterly training</t>
  </si>
  <si>
    <t>Incident Response</t>
  </si>
  <si>
    <t>Ad-hoc handling</t>
  </si>
  <si>
    <t>No documented IR plan</t>
  </si>
  <si>
    <t>Slow response to cyber incidents</t>
  </si>
  <si>
    <t>Create formal incident response plan</t>
  </si>
  <si>
    <t>Backup Management</t>
  </si>
  <si>
    <t>Weekly backups occur</t>
  </si>
  <si>
    <t>Backups not tested</t>
  </si>
  <si>
    <t>Recovery may fail during incident</t>
  </si>
  <si>
    <t>Test backup restoration quarterly</t>
  </si>
  <si>
    <t>Risk ID</t>
  </si>
  <si>
    <t>Asset/Process</t>
  </si>
  <si>
    <t>Risk Description</t>
  </si>
  <si>
    <t>Threat</t>
  </si>
  <si>
    <t>Vulnerability</t>
  </si>
  <si>
    <t>Likelihood (1-5)</t>
  </si>
  <si>
    <t>Impact (1-5)</t>
  </si>
  <si>
    <t>Risk Score</t>
  </si>
  <si>
    <t>Risk Level</t>
  </si>
  <si>
    <t>Existing Controls</t>
  </si>
  <si>
    <t>Recommended Action</t>
  </si>
  <si>
    <t>Control Mapping (NIST 800-53)</t>
  </si>
  <si>
    <t>Status</t>
  </si>
  <si>
    <t>R-01</t>
  </si>
  <si>
    <t>Phishing could compromise user accounts</t>
  </si>
  <si>
    <t>Phishing</t>
  </si>
  <si>
    <t>No MFA</t>
  </si>
  <si>
    <t>Passwords required</t>
  </si>
  <si>
    <t>Enable MFA + user training</t>
  </si>
  <si>
    <t>IA-2 Identification &amp; Authentication</t>
  </si>
  <si>
    <t>IT Manager</t>
  </si>
  <si>
    <t>Open</t>
  </si>
  <si>
    <t>R-02</t>
  </si>
  <si>
    <t>Unauthorized access to employee PII</t>
  </si>
  <si>
    <t>Insider misuse</t>
  </si>
  <si>
    <t>Weak password policy</t>
  </si>
  <si>
    <t>Password policy</t>
  </si>
  <si>
    <t>Implement MFA + RBAC</t>
  </si>
  <si>
    <t>AC-2 Account Management</t>
  </si>
  <si>
    <t>HR/IT</t>
  </si>
  <si>
    <t>R-03</t>
  </si>
  <si>
    <t>Cloud Storage</t>
  </si>
  <si>
    <t>Sensitive files overshared externally</t>
  </si>
  <si>
    <t>Data exposure</t>
  </si>
  <si>
    <t>Poor permission management</t>
  </si>
  <si>
    <t>Shared folders</t>
  </si>
  <si>
    <t>Quarterly permission review</t>
  </si>
  <si>
    <t>AC-6 Least Privilege</t>
  </si>
  <si>
    <t xml:space="preserve">Brightstar Risk Assessment </t>
  </si>
  <si>
    <t xml:space="preserve">Asset Inventory </t>
  </si>
  <si>
    <t>Control Gap Analysis</t>
  </si>
  <si>
    <t>Risk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</si>
</sst>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1"/>
  <sheetViews>
    <sheetView showGridLines="0" tabSelected="1" workbookViewId="0">
      <selection activeCell="E2" sqref="E2"/>
    </sheetView>
  </sheetViews>
  <sheetFormatPr defaultRowHeight="14.25" x14ac:dyDescent="0.2"/>
  <cols>
    <col min="1" max="1" width="9.140625" style="1"/>
    <col min="2" max="2" width="9.28515625" style="1" bestFit="1" customWidth="1"/>
    <col min="3" max="3" width="26.42578125" style="1" bestFit="1" customWidth="1"/>
    <col min="4" max="4" width="9.140625" style="1"/>
    <col min="5" max="5" width="24.5703125" style="1" bestFit="1" customWidth="1"/>
    <col min="6" max="6" width="35.42578125" style="1" bestFit="1" customWidth="1"/>
    <col min="7" max="7" width="36" style="1" bestFit="1" customWidth="1"/>
    <col min="8" max="16384" width="9.140625" style="1"/>
  </cols>
  <sheetData>
    <row r="2" spans="2:7" ht="15.75" x14ac:dyDescent="0.25">
      <c r="B2" s="3" t="s">
        <v>94</v>
      </c>
    </row>
    <row r="3" spans="2:7" ht="15" x14ac:dyDescent="0.25">
      <c r="B3" s="2"/>
    </row>
    <row r="4" spans="2:7" ht="15" x14ac:dyDescent="0.25">
      <c r="B4" s="2" t="s">
        <v>95</v>
      </c>
    </row>
    <row r="6" spans="2:7" s="2" customFormat="1" ht="15" x14ac:dyDescent="0.25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</row>
    <row r="7" spans="2:7" x14ac:dyDescent="0.2"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</row>
    <row r="8" spans="2:7" x14ac:dyDescent="0.2">
      <c r="B8" s="1" t="s">
        <v>12</v>
      </c>
      <c r="C8" s="1" t="s">
        <v>13</v>
      </c>
      <c r="D8" s="1" t="s">
        <v>8</v>
      </c>
      <c r="E8" s="1" t="s">
        <v>14</v>
      </c>
      <c r="F8" s="1" t="s">
        <v>10</v>
      </c>
      <c r="G8" s="1" t="s">
        <v>15</v>
      </c>
    </row>
    <row r="9" spans="2:7" x14ac:dyDescent="0.2"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21</v>
      </c>
    </row>
    <row r="10" spans="2:7" x14ac:dyDescent="0.2"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20</v>
      </c>
      <c r="G10" s="1" t="s">
        <v>26</v>
      </c>
    </row>
    <row r="11" spans="2:7" x14ac:dyDescent="0.2">
      <c r="B11" s="1" t="s">
        <v>27</v>
      </c>
      <c r="C11" s="1" t="s">
        <v>28</v>
      </c>
      <c r="D11" s="1" t="s">
        <v>8</v>
      </c>
      <c r="E11" s="1" t="s">
        <v>29</v>
      </c>
      <c r="F11" s="1" t="s">
        <v>10</v>
      </c>
      <c r="G11" s="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8"/>
  <sheetViews>
    <sheetView showGridLines="0" workbookViewId="0">
      <selection activeCell="C15" sqref="C15"/>
    </sheetView>
  </sheetViews>
  <sheetFormatPr defaultRowHeight="14.25" x14ac:dyDescent="0.2"/>
  <cols>
    <col min="1" max="1" width="9.140625" style="1"/>
    <col min="2" max="2" width="20.85546875" style="1" bestFit="1" customWidth="1"/>
    <col min="3" max="3" width="28.7109375" style="1" bestFit="1" customWidth="1"/>
    <col min="4" max="4" width="26.28515625" style="1" bestFit="1" customWidth="1"/>
    <col min="5" max="5" width="35.140625" style="1" bestFit="1" customWidth="1"/>
    <col min="6" max="6" width="36" style="1" bestFit="1" customWidth="1"/>
    <col min="7" max="16384" width="9.140625" style="1"/>
  </cols>
  <sheetData>
    <row r="2" spans="2:6" ht="15.75" x14ac:dyDescent="0.25">
      <c r="B2" s="3" t="s">
        <v>96</v>
      </c>
    </row>
    <row r="4" spans="2:6" s="2" customFormat="1" ht="15" x14ac:dyDescent="0.25"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</row>
    <row r="5" spans="2:6" x14ac:dyDescent="0.2"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</row>
    <row r="6" spans="2:6" x14ac:dyDescent="0.2"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</row>
    <row r="7" spans="2:6" x14ac:dyDescent="0.2"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</row>
    <row r="8" spans="2:6" x14ac:dyDescent="0.2"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7"/>
  <sheetViews>
    <sheetView showGridLines="0" zoomScale="90" zoomScaleNormal="90" workbookViewId="0">
      <selection activeCell="M30" sqref="M30"/>
    </sheetView>
  </sheetViews>
  <sheetFormatPr defaultRowHeight="14.25" x14ac:dyDescent="0.2"/>
  <cols>
    <col min="1" max="2" width="9.140625" style="1"/>
    <col min="3" max="3" width="18.42578125" style="1" bestFit="1" customWidth="1"/>
    <col min="4" max="4" width="38.7109375" style="1" bestFit="1" customWidth="1"/>
    <col min="5" max="5" width="14" style="1" bestFit="1" customWidth="1"/>
    <col min="6" max="6" width="28.140625" style="1" bestFit="1" customWidth="1"/>
    <col min="7" max="7" width="16.7109375" style="1" bestFit="1" customWidth="1"/>
    <col min="8" max="8" width="12.5703125" style="1" bestFit="1" customWidth="1"/>
    <col min="9" max="9" width="12" style="1" bestFit="1" customWidth="1"/>
    <col min="10" max="10" width="11.7109375" style="1" bestFit="1" customWidth="1"/>
    <col min="11" max="11" width="20" style="1" bestFit="1" customWidth="1"/>
    <col min="12" max="12" width="26.85546875" style="1" bestFit="1" customWidth="1"/>
    <col min="13" max="13" width="33.28515625" style="1" bestFit="1" customWidth="1"/>
    <col min="14" max="14" width="10.7109375" style="1" bestFit="1" customWidth="1"/>
    <col min="15" max="15" width="6.42578125" style="1" bestFit="1" customWidth="1"/>
    <col min="16" max="16384" width="9.140625" style="1"/>
  </cols>
  <sheetData>
    <row r="2" spans="2:15" ht="15.75" x14ac:dyDescent="0.25">
      <c r="B2" s="3" t="s">
        <v>97</v>
      </c>
    </row>
    <row r="4" spans="2:15" s="2" customFormat="1" ht="15" x14ac:dyDescent="0.25">
      <c r="B4" s="2" t="s">
        <v>56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61</v>
      </c>
      <c r="H4" s="2" t="s">
        <v>62</v>
      </c>
      <c r="I4" s="2" t="s">
        <v>63</v>
      </c>
      <c r="J4" s="2" t="s">
        <v>64</v>
      </c>
      <c r="K4" s="2" t="s">
        <v>65</v>
      </c>
      <c r="L4" s="2" t="s">
        <v>66</v>
      </c>
      <c r="M4" s="2" t="s">
        <v>67</v>
      </c>
      <c r="N4" s="2" t="s">
        <v>2</v>
      </c>
      <c r="O4" s="2" t="s">
        <v>68</v>
      </c>
    </row>
    <row r="5" spans="2:15" x14ac:dyDescent="0.2">
      <c r="B5" s="1" t="s">
        <v>69</v>
      </c>
      <c r="C5" s="1" t="s">
        <v>13</v>
      </c>
      <c r="D5" s="1" t="s">
        <v>70</v>
      </c>
      <c r="E5" s="1" t="s">
        <v>71</v>
      </c>
      <c r="F5" s="1" t="s">
        <v>72</v>
      </c>
      <c r="G5" s="1">
        <v>4</v>
      </c>
      <c r="H5" s="1">
        <v>4</v>
      </c>
      <c r="I5" s="1">
        <f>G5*H5</f>
        <v>16</v>
      </c>
      <c r="J5" s="1" t="s">
        <v>20</v>
      </c>
      <c r="K5" s="1" t="s">
        <v>73</v>
      </c>
      <c r="L5" s="1" t="s">
        <v>74</v>
      </c>
      <c r="M5" s="1" t="s">
        <v>75</v>
      </c>
      <c r="N5" s="1" t="s">
        <v>76</v>
      </c>
      <c r="O5" s="1" t="s">
        <v>77</v>
      </c>
    </row>
    <row r="6" spans="2:15" x14ac:dyDescent="0.2">
      <c r="B6" s="1" t="s">
        <v>78</v>
      </c>
      <c r="C6" s="1" t="s">
        <v>23</v>
      </c>
      <c r="D6" s="1" t="s">
        <v>79</v>
      </c>
      <c r="E6" s="1" t="s">
        <v>80</v>
      </c>
      <c r="F6" s="1" t="s">
        <v>81</v>
      </c>
      <c r="G6" s="1">
        <v>3</v>
      </c>
      <c r="H6" s="1">
        <v>5</v>
      </c>
      <c r="I6" s="1">
        <f>G6*H6</f>
        <v>15</v>
      </c>
      <c r="J6" s="1" t="s">
        <v>10</v>
      </c>
      <c r="K6" s="1" t="s">
        <v>82</v>
      </c>
      <c r="L6" s="1" t="s">
        <v>83</v>
      </c>
      <c r="M6" s="1" t="s">
        <v>84</v>
      </c>
      <c r="N6" s="1" t="s">
        <v>85</v>
      </c>
      <c r="O6" s="1" t="s">
        <v>77</v>
      </c>
    </row>
    <row r="7" spans="2:15" x14ac:dyDescent="0.2">
      <c r="B7" s="1" t="s">
        <v>86</v>
      </c>
      <c r="C7" s="1" t="s">
        <v>87</v>
      </c>
      <c r="D7" s="1" t="s">
        <v>88</v>
      </c>
      <c r="E7" s="1" t="s">
        <v>89</v>
      </c>
      <c r="F7" s="1" t="s">
        <v>90</v>
      </c>
      <c r="G7" s="1">
        <v>3</v>
      </c>
      <c r="H7" s="1">
        <v>4</v>
      </c>
      <c r="I7" s="1">
        <f>G7*H7</f>
        <v>12</v>
      </c>
      <c r="J7" s="1" t="s">
        <v>10</v>
      </c>
      <c r="K7" s="1" t="s">
        <v>91</v>
      </c>
      <c r="L7" s="1" t="s">
        <v>92</v>
      </c>
      <c r="M7" s="1" t="s">
        <v>93</v>
      </c>
      <c r="N7" s="1" t="s">
        <v>8</v>
      </c>
      <c r="O7" s="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Inventory</vt:lpstr>
      <vt:lpstr>Control Gap Analysis</vt:lpstr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Malik Dukes</cp:lastModifiedBy>
  <dcterms:created xsi:type="dcterms:W3CDTF">2026-03-16T00:29:20Z</dcterms:created>
  <dcterms:modified xsi:type="dcterms:W3CDTF">2026-03-16T00:55:07Z</dcterms:modified>
</cp:coreProperties>
</file>