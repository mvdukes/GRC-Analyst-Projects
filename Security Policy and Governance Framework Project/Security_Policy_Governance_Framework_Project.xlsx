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f60e52c16b5764a/Desktop/GRC Analyst Portfolio Projects/"/>
    </mc:Choice>
  </mc:AlternateContent>
  <xr:revisionPtr revIDLastSave="0" documentId="8_{DCA9E44E-ED91-42D4-B0FD-044B424BBDA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ject Overview" sheetId="1" r:id="rId1"/>
    <sheet name="Policy Inventory" sheetId="2" r:id="rId2"/>
    <sheet name="Framework Mapping" sheetId="3" r:id="rId3"/>
    <sheet name="Governance RACI" sheetId="4" r:id="rId4"/>
    <sheet name="Awareness Program" sheetId="5" r:id="rId5"/>
    <sheet name="Outcomes &amp; KP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F9" i="6" s="1"/>
  <c r="E6" i="6"/>
  <c r="F6" i="6" s="1"/>
  <c r="C16" i="1"/>
  <c r="E8" i="6" s="1"/>
  <c r="F8" i="6" s="1"/>
  <c r="C15" i="1"/>
  <c r="E7" i="6" s="1"/>
  <c r="F7" i="6" s="1"/>
  <c r="C13" i="1"/>
  <c r="C12" i="1"/>
  <c r="E5" i="6" s="1"/>
  <c r="F5" i="6" s="1"/>
</calcChain>
</file>

<file path=xl/sharedStrings.xml><?xml version="1.0" encoding="utf-8"?>
<sst xmlns="http://schemas.openxmlformats.org/spreadsheetml/2006/main" count="254" uniqueCount="169">
  <si>
    <t>Project Type</t>
  </si>
  <si>
    <t>Information Security Governance and Policy Development</t>
  </si>
  <si>
    <t>Organization Profile</t>
  </si>
  <si>
    <t>Mid-sized technology services company</t>
  </si>
  <si>
    <t>Primary Objective</t>
  </si>
  <si>
    <t>Establish a formal information security governance framework and core policy set</t>
  </si>
  <si>
    <t>Standards Alignment</t>
  </si>
  <si>
    <t>NIST CSF, ISO 27001, CIS Critical Security Controls</t>
  </si>
  <si>
    <t>In-Scope Population</t>
  </si>
  <si>
    <t>Employees, contractors, and third-party vendors</t>
  </si>
  <si>
    <t>Document Status</t>
  </si>
  <si>
    <t>Completed</t>
  </si>
  <si>
    <t>Key Metrics</t>
  </si>
  <si>
    <t>Total Policies Developed</t>
  </si>
  <si>
    <t>Implemented Policies</t>
  </si>
  <si>
    <t>Frameworks Referenced</t>
  </si>
  <si>
    <t>3</t>
  </si>
  <si>
    <t>Governance Roles Defined</t>
  </si>
  <si>
    <t>Training Modules Planned</t>
  </si>
  <si>
    <t>Project Scope Summary</t>
  </si>
  <si>
    <t>Developed organizational information security policies and governance standards.</t>
  </si>
  <si>
    <t>Created policies covering access control, incident response, data protection, acceptable use, password security, and awareness training.</t>
  </si>
  <si>
    <t>Mapped policy content to NIST CSF, ISO 27001, and CIS Critical Security Controls.</t>
  </si>
  <si>
    <t>Defined governance ownership across security leadership, IT, HR, and business units.</t>
  </si>
  <si>
    <t>Supported employee security awareness training initiatives to reinforce secure behaviors.</t>
  </si>
  <si>
    <t>Policy Inventory</t>
  </si>
  <si>
    <t>Policy Name</t>
  </si>
  <si>
    <t>Purpose</t>
  </si>
  <si>
    <t>Key Requirements</t>
  </si>
  <si>
    <t>Primary Owner</t>
  </si>
  <si>
    <t>Review Frequency</t>
  </si>
  <si>
    <t>NIST CSF Alignment</t>
  </si>
  <si>
    <t>ISO 27001 Alignment</t>
  </si>
  <si>
    <t>Status</t>
  </si>
  <si>
    <t>Access Control Policy</t>
  </si>
  <si>
    <t>Manage provisioning, modification, and revocation of access.</t>
  </si>
  <si>
    <t>Role-based access, least privilege, access reviews, onboarding/offboarding controls.</t>
  </si>
  <si>
    <t>IT Security Manager</t>
  </si>
  <si>
    <t>Annual</t>
  </si>
  <si>
    <t>PR.AC</t>
  </si>
  <si>
    <t>Annex A.5 / A.8</t>
  </si>
  <si>
    <t>Implemented</t>
  </si>
  <si>
    <t>Incident Response Policy</t>
  </si>
  <si>
    <t>Define how incidents are identified, escalated, contained, and resolved.</t>
  </si>
  <si>
    <t>Incident intake, severity classification, escalation paths, communications, post-incident review.</t>
  </si>
  <si>
    <t>Security Operations Lead</t>
  </si>
  <si>
    <t>RS / RC</t>
  </si>
  <si>
    <t>Data Protection Policy</t>
  </si>
  <si>
    <t>Protect sensitive information throughout its lifecycle.</t>
  </si>
  <si>
    <t>Data classification, encryption, handling rules, retention and disposal requirements.</t>
  </si>
  <si>
    <t>Data Governance Lead</t>
  </si>
  <si>
    <t>PR.DS</t>
  </si>
  <si>
    <t>Acceptable Use Policy</t>
  </si>
  <si>
    <t>Define acceptable use of corporate systems and assets.</t>
  </si>
  <si>
    <t>Authorized use, prohibited actions, internet/email usage, software restrictions.</t>
  </si>
  <si>
    <t>HR &amp; IT</t>
  </si>
  <si>
    <t>PR.AT / PR.AC</t>
  </si>
  <si>
    <t>Annex A.6</t>
  </si>
  <si>
    <t>Password Policy</t>
  </si>
  <si>
    <t>Set authentication standards for user credentials.</t>
  </si>
  <si>
    <t>Password complexity, reset controls, MFA support, credential storage requirements.</t>
  </si>
  <si>
    <t>IT Security</t>
  </si>
  <si>
    <t>Annex A.5.17 / A.8</t>
  </si>
  <si>
    <t>Security Awareness Policy</t>
  </si>
  <si>
    <t>Require recurring security training and reporting obligations.</t>
  </si>
  <si>
    <t>Annual training, onboarding content, phishing awareness, incident reporting reminders.</t>
  </si>
  <si>
    <t>Security Awareness Team</t>
  </si>
  <si>
    <t>PR.AT</t>
  </si>
  <si>
    <t>Annex A.6 / A.7</t>
  </si>
  <si>
    <t>Framework Mapping Matrix</t>
  </si>
  <si>
    <t>NIST Function</t>
  </si>
  <si>
    <t>NIST Category</t>
  </si>
  <si>
    <t>ISO 27001 Reference</t>
  </si>
  <si>
    <t>CIS Control</t>
  </si>
  <si>
    <t>Control Intent</t>
  </si>
  <si>
    <t>Implementation Note</t>
  </si>
  <si>
    <t>Protect</t>
  </si>
  <si>
    <t>Annex A.5 Access Control / A.8</t>
  </si>
  <si>
    <t>CIS 6</t>
  </si>
  <si>
    <t>Restrict and govern access to assets</t>
  </si>
  <si>
    <t>Supports role-based access and periodic review</t>
  </si>
  <si>
    <t>Respond / Recover</t>
  </si>
  <si>
    <t>Annex A.5 / A.8 Incident Mgmt</t>
  </si>
  <si>
    <t>CIS 17</t>
  </si>
  <si>
    <t>Establish repeatable incident handling</t>
  </si>
  <si>
    <t>Supports triage, escalation, and lessons learned</t>
  </si>
  <si>
    <t>Annex A.5 Information Handling</t>
  </si>
  <si>
    <t>CIS 3</t>
  </si>
  <si>
    <t>Secure sensitive data at rest and in transit</t>
  </si>
  <si>
    <t>Supports encryption and handling standards</t>
  </si>
  <si>
    <t>CIS 14</t>
  </si>
  <si>
    <t>Reinforce safe use of enterprise assets</t>
  </si>
  <si>
    <t>Sets user behavior expectations</t>
  </si>
  <si>
    <t>CIS 5</t>
  </si>
  <si>
    <t>Harden authentication practices</t>
  </si>
  <si>
    <t>Supports password and MFA requirements</t>
  </si>
  <si>
    <t>Improve workforce cyber awareness</t>
  </si>
  <si>
    <t>Supports onboarding and annual refreshers</t>
  </si>
  <si>
    <t>Governance Roles and Responsibilities (RACI)</t>
  </si>
  <si>
    <t>Role</t>
  </si>
  <si>
    <t>Policy Ownership</t>
  </si>
  <si>
    <t>Technical Control Implementation</t>
  </si>
  <si>
    <t>Access Reviews</t>
  </si>
  <si>
    <t>Training Support</t>
  </si>
  <si>
    <t>Incident Escalation</t>
  </si>
  <si>
    <t>Audit Readiness</t>
  </si>
  <si>
    <t>Notes</t>
  </si>
  <si>
    <t>Chief Information Security Officer (CISO)</t>
  </si>
  <si>
    <t>A</t>
  </si>
  <si>
    <t>C</t>
  </si>
  <si>
    <t>Sets governance direction and approves policy</t>
  </si>
  <si>
    <t>IT Security Team</t>
  </si>
  <si>
    <t>R</t>
  </si>
  <si>
    <t>Implements controls and monitors compliance</t>
  </si>
  <si>
    <t>Human Resources</t>
  </si>
  <si>
    <t>I</t>
  </si>
  <si>
    <t>Supports onboarding, awareness, and disciplinary workflow</t>
  </si>
  <si>
    <t>Business Unit Leaders</t>
  </si>
  <si>
    <t>Ensure team adherence to policy requirements</t>
  </si>
  <si>
    <t>Owns recurring awareness program content</t>
  </si>
  <si>
    <t>Security Awareness Training Program</t>
  </si>
  <si>
    <t>Training Module</t>
  </si>
  <si>
    <t>Audience</t>
  </si>
  <si>
    <t>Frequency</t>
  </si>
  <si>
    <t>Delivery Method</t>
  </si>
  <si>
    <t>Learning Objective</t>
  </si>
  <si>
    <t>Owner</t>
  </si>
  <si>
    <t>Measurement Metric</t>
  </si>
  <si>
    <t>Phishing Awareness</t>
  </si>
  <si>
    <t>All employees</t>
  </si>
  <si>
    <t>eLearning + simulation</t>
  </si>
  <si>
    <t>Recognize phishing and report suspicious emails</t>
  </si>
  <si>
    <t>Completion % and simulation click rate</t>
  </si>
  <si>
    <t>Planned</t>
  </si>
  <si>
    <t>Password Security</t>
  </si>
  <si>
    <t>eLearning</t>
  </si>
  <si>
    <t>Promote strong passwords and MFA usage</t>
  </si>
  <si>
    <t>Completion %</t>
  </si>
  <si>
    <t>Data Handling and Protection</t>
  </si>
  <si>
    <t>Employees handling sensitive data</t>
  </si>
  <si>
    <t>Instructor-led + eLearning</t>
  </si>
  <si>
    <t>Apply classification, handling, and retention rules</t>
  </si>
  <si>
    <t>Incident Reporting Procedures</t>
  </si>
  <si>
    <t>Know when and how to report security events</t>
  </si>
  <si>
    <t>Social Engineering Awareness</t>
  </si>
  <si>
    <t>High-risk teams</t>
  </si>
  <si>
    <t>Semi-Annual</t>
  </si>
  <si>
    <t>Workshop</t>
  </si>
  <si>
    <t>Identify manipulation tactics across channels</t>
  </si>
  <si>
    <t>Attendance %</t>
  </si>
  <si>
    <t>Project Outcomes and KPI Tracker</t>
  </si>
  <si>
    <t>KPI</t>
  </si>
  <si>
    <t>Baseline</t>
  </si>
  <si>
    <t>Target</t>
  </si>
  <si>
    <t>Current</t>
  </si>
  <si>
    <t>Gap to Target</t>
  </si>
  <si>
    <t>Status Note</t>
  </si>
  <si>
    <t>Core policies formally documented</t>
  </si>
  <si>
    <t>CISO</t>
  </si>
  <si>
    <t>Target met through framework rollout</t>
  </si>
  <si>
    <t>Frameworks aligned</t>
  </si>
  <si>
    <t>NIST CSF, ISO 27001, and CIS mapped</t>
  </si>
  <si>
    <t>Governance roles defined</t>
  </si>
  <si>
    <t>Core ownership assigned</t>
  </si>
  <si>
    <t>Awareness modules established</t>
  </si>
  <si>
    <t>Training plan documented</t>
  </si>
  <si>
    <t>Policies with annual review cycle</t>
  </si>
  <si>
    <t>Annual review cadence set</t>
  </si>
  <si>
    <t xml:space="preserve">Security Policy &amp; Governance Framework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</si>
</sst>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1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4"/>
  <sheetViews>
    <sheetView showGridLines="0" workbookViewId="0">
      <selection activeCell="C33" sqref="C33"/>
    </sheetView>
  </sheetViews>
  <sheetFormatPr defaultRowHeight="14.25" x14ac:dyDescent="0.2"/>
  <cols>
    <col min="1" max="1" width="3.85546875" style="1" customWidth="1"/>
    <col min="2" max="2" width="29.140625" style="1" bestFit="1" customWidth="1"/>
    <col min="3" max="3" width="78" style="1" customWidth="1"/>
    <col min="4" max="7" width="14" style="1" customWidth="1"/>
    <col min="8" max="16384" width="9.140625" style="1"/>
  </cols>
  <sheetData>
    <row r="2" spans="2:7" s="2" customFormat="1" ht="15.75" x14ac:dyDescent="0.25">
      <c r="B2" s="3" t="s">
        <v>168</v>
      </c>
      <c r="C2" s="4"/>
      <c r="D2" s="4"/>
      <c r="E2" s="4"/>
      <c r="F2" s="4"/>
      <c r="G2" s="4"/>
    </row>
    <row r="4" spans="2:7" ht="15" x14ac:dyDescent="0.25">
      <c r="B4" s="5" t="s">
        <v>0</v>
      </c>
      <c r="C4" s="1" t="s">
        <v>1</v>
      </c>
    </row>
    <row r="5" spans="2:7" ht="15" x14ac:dyDescent="0.25">
      <c r="B5" s="5" t="s">
        <v>2</v>
      </c>
      <c r="C5" s="1" t="s">
        <v>3</v>
      </c>
    </row>
    <row r="6" spans="2:7" ht="15" x14ac:dyDescent="0.25">
      <c r="B6" s="5" t="s">
        <v>4</v>
      </c>
      <c r="C6" s="1" t="s">
        <v>5</v>
      </c>
    </row>
    <row r="7" spans="2:7" ht="15" x14ac:dyDescent="0.25">
      <c r="B7" s="5" t="s">
        <v>6</v>
      </c>
      <c r="C7" s="1" t="s">
        <v>7</v>
      </c>
    </row>
    <row r="8" spans="2:7" ht="15" x14ac:dyDescent="0.25">
      <c r="B8" s="5" t="s">
        <v>8</v>
      </c>
      <c r="C8" s="1" t="s">
        <v>9</v>
      </c>
    </row>
    <row r="9" spans="2:7" ht="15" x14ac:dyDescent="0.25">
      <c r="B9" s="5" t="s">
        <v>10</v>
      </c>
      <c r="C9" s="1" t="s">
        <v>11</v>
      </c>
    </row>
    <row r="11" spans="2:7" ht="15.75" x14ac:dyDescent="0.2">
      <c r="B11" s="3" t="s">
        <v>12</v>
      </c>
      <c r="C11" s="6"/>
      <c r="D11" s="6"/>
      <c r="E11" s="6"/>
      <c r="F11" s="6"/>
      <c r="G11" s="6"/>
    </row>
    <row r="12" spans="2:7" ht="15" x14ac:dyDescent="0.25">
      <c r="B12" s="5" t="s">
        <v>13</v>
      </c>
      <c r="C12" s="7">
        <f>COUNTA('Policy Inventory'!B5:B10)</f>
        <v>6</v>
      </c>
    </row>
    <row r="13" spans="2:7" ht="15" x14ac:dyDescent="0.25">
      <c r="B13" s="5" t="s">
        <v>14</v>
      </c>
      <c r="C13" s="7">
        <f>COUNTIF('Policy Inventory'!I5:I10,"Implemented")</f>
        <v>6</v>
      </c>
    </row>
    <row r="14" spans="2:7" ht="15" x14ac:dyDescent="0.25">
      <c r="B14" s="5" t="s">
        <v>15</v>
      </c>
      <c r="C14" s="7" t="s">
        <v>16</v>
      </c>
    </row>
    <row r="15" spans="2:7" ht="15" x14ac:dyDescent="0.25">
      <c r="B15" s="5" t="s">
        <v>17</v>
      </c>
      <c r="C15" s="7">
        <f>COUNTA('Governance RACI'!B5:B9)</f>
        <v>5</v>
      </c>
    </row>
    <row r="16" spans="2:7" ht="15" x14ac:dyDescent="0.25">
      <c r="B16" s="5" t="s">
        <v>18</v>
      </c>
      <c r="C16" s="7">
        <f>COUNTA('Awareness Program'!B5:B9)</f>
        <v>5</v>
      </c>
    </row>
    <row r="19" spans="2:7" ht="15.75" x14ac:dyDescent="0.2">
      <c r="B19" s="3" t="s">
        <v>19</v>
      </c>
      <c r="C19" s="6"/>
      <c r="D19" s="6"/>
      <c r="E19" s="6"/>
      <c r="F19" s="6"/>
      <c r="G19" s="6"/>
    </row>
    <row r="20" spans="2:7" x14ac:dyDescent="0.2">
      <c r="B20" s="8" t="s">
        <v>20</v>
      </c>
    </row>
    <row r="21" spans="2:7" x14ac:dyDescent="0.2">
      <c r="B21" s="8" t="s">
        <v>21</v>
      </c>
    </row>
    <row r="22" spans="2:7" x14ac:dyDescent="0.2">
      <c r="B22" s="8" t="s">
        <v>22</v>
      </c>
    </row>
    <row r="23" spans="2:7" x14ac:dyDescent="0.2">
      <c r="B23" s="8" t="s">
        <v>23</v>
      </c>
    </row>
    <row r="24" spans="2:7" x14ac:dyDescent="0.2">
      <c r="B24" s="8" t="s">
        <v>24</v>
      </c>
    </row>
  </sheetData>
  <mergeCells count="3">
    <mergeCell ref="B19:G19"/>
    <mergeCell ref="B11:G11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"/>
  <sheetViews>
    <sheetView showGridLines="0" workbookViewId="0">
      <selection activeCell="D16" sqref="D16"/>
    </sheetView>
  </sheetViews>
  <sheetFormatPr defaultRowHeight="14.25" x14ac:dyDescent="0.2"/>
  <cols>
    <col min="1" max="1" width="3.7109375" style="1" customWidth="1"/>
    <col min="2" max="2" width="24" style="1" customWidth="1"/>
    <col min="3" max="3" width="34.5703125" style="1" bestFit="1" customWidth="1"/>
    <col min="4" max="4" width="50" style="1" customWidth="1"/>
    <col min="5" max="5" width="20.28515625" style="1" customWidth="1"/>
    <col min="6" max="7" width="16" style="1" customWidth="1"/>
    <col min="8" max="8" width="28" style="1" customWidth="1"/>
    <col min="9" max="9" width="14" style="1" customWidth="1"/>
    <col min="10" max="16384" width="9.140625" style="1"/>
  </cols>
  <sheetData>
    <row r="2" spans="2:9" ht="15.75" x14ac:dyDescent="0.2">
      <c r="B2" s="3" t="s">
        <v>25</v>
      </c>
      <c r="C2" s="6"/>
      <c r="D2" s="6"/>
      <c r="E2" s="6"/>
      <c r="F2" s="6"/>
      <c r="G2" s="6"/>
      <c r="H2" s="6"/>
      <c r="I2" s="6"/>
    </row>
    <row r="4" spans="2:9" s="7" customFormat="1" ht="30" x14ac:dyDescent="0.2"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10" t="s">
        <v>33</v>
      </c>
    </row>
    <row r="5" spans="2:9" ht="42" customHeight="1" x14ac:dyDescent="0.2"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</row>
    <row r="6" spans="2:9" ht="42" customHeight="1" x14ac:dyDescent="0.2">
      <c r="B6" s="9" t="s">
        <v>42</v>
      </c>
      <c r="C6" s="9" t="s">
        <v>43</v>
      </c>
      <c r="D6" s="9" t="s">
        <v>44</v>
      </c>
      <c r="E6" s="9" t="s">
        <v>45</v>
      </c>
      <c r="F6" s="9" t="s">
        <v>38</v>
      </c>
      <c r="G6" s="9" t="s">
        <v>46</v>
      </c>
      <c r="H6" s="9" t="s">
        <v>40</v>
      </c>
      <c r="I6" s="9" t="s">
        <v>41</v>
      </c>
    </row>
    <row r="7" spans="2:9" ht="42" customHeight="1" x14ac:dyDescent="0.2">
      <c r="B7" s="9" t="s">
        <v>47</v>
      </c>
      <c r="C7" s="9" t="s">
        <v>48</v>
      </c>
      <c r="D7" s="9" t="s">
        <v>49</v>
      </c>
      <c r="E7" s="9" t="s">
        <v>50</v>
      </c>
      <c r="F7" s="9" t="s">
        <v>38</v>
      </c>
      <c r="G7" s="9" t="s">
        <v>51</v>
      </c>
      <c r="H7" s="9" t="s">
        <v>40</v>
      </c>
      <c r="I7" s="9" t="s">
        <v>41</v>
      </c>
    </row>
    <row r="8" spans="2:9" ht="42" customHeight="1" x14ac:dyDescent="0.2">
      <c r="B8" s="9" t="s">
        <v>52</v>
      </c>
      <c r="C8" s="9" t="s">
        <v>53</v>
      </c>
      <c r="D8" s="9" t="s">
        <v>54</v>
      </c>
      <c r="E8" s="9" t="s">
        <v>55</v>
      </c>
      <c r="F8" s="9" t="s">
        <v>38</v>
      </c>
      <c r="G8" s="9" t="s">
        <v>56</v>
      </c>
      <c r="H8" s="9" t="s">
        <v>57</v>
      </c>
      <c r="I8" s="9" t="s">
        <v>41</v>
      </c>
    </row>
    <row r="9" spans="2:9" ht="42" customHeight="1" x14ac:dyDescent="0.2">
      <c r="B9" s="9" t="s">
        <v>58</v>
      </c>
      <c r="C9" s="9" t="s">
        <v>59</v>
      </c>
      <c r="D9" s="9" t="s">
        <v>60</v>
      </c>
      <c r="E9" s="9" t="s">
        <v>61</v>
      </c>
      <c r="F9" s="9" t="s">
        <v>38</v>
      </c>
      <c r="G9" s="9" t="s">
        <v>39</v>
      </c>
      <c r="H9" s="9" t="s">
        <v>62</v>
      </c>
      <c r="I9" s="9" t="s">
        <v>41</v>
      </c>
    </row>
    <row r="10" spans="2:9" ht="42" customHeight="1" x14ac:dyDescent="0.2">
      <c r="B10" s="9" t="s">
        <v>63</v>
      </c>
      <c r="C10" s="9" t="s">
        <v>64</v>
      </c>
      <c r="D10" s="9" t="s">
        <v>65</v>
      </c>
      <c r="E10" s="9" t="s">
        <v>66</v>
      </c>
      <c r="F10" s="9" t="s">
        <v>38</v>
      </c>
      <c r="G10" s="9" t="s">
        <v>67</v>
      </c>
      <c r="H10" s="9" t="s">
        <v>68</v>
      </c>
      <c r="I10" s="9" t="s">
        <v>41</v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"/>
  <sheetViews>
    <sheetView showGridLines="0" workbookViewId="0">
      <selection activeCell="H24" sqref="H24"/>
    </sheetView>
  </sheetViews>
  <sheetFormatPr defaultRowHeight="14.25" x14ac:dyDescent="0.2"/>
  <cols>
    <col min="1" max="1" width="3.28515625" style="1" customWidth="1"/>
    <col min="2" max="2" width="24" style="1" customWidth="1"/>
    <col min="3" max="4" width="16" style="1" customWidth="1"/>
    <col min="5" max="5" width="28" style="1" customWidth="1"/>
    <col min="6" max="6" width="14" style="1" customWidth="1"/>
    <col min="7" max="7" width="30" style="1" customWidth="1"/>
    <col min="8" max="8" width="36" style="1" customWidth="1"/>
    <col min="9" max="16384" width="9.140625" style="1"/>
  </cols>
  <sheetData>
    <row r="2" spans="2:8" ht="15.75" x14ac:dyDescent="0.2">
      <c r="B2" s="3" t="s">
        <v>69</v>
      </c>
      <c r="C2" s="6"/>
      <c r="D2" s="6"/>
      <c r="E2" s="6"/>
      <c r="F2" s="6"/>
      <c r="G2" s="6"/>
      <c r="H2" s="6"/>
    </row>
    <row r="4" spans="2:8" s="7" customFormat="1" ht="15" x14ac:dyDescent="0.2">
      <c r="B4" s="10" t="s">
        <v>26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</row>
    <row r="5" spans="2:8" ht="33.75" customHeight="1" x14ac:dyDescent="0.2">
      <c r="B5" s="9" t="s">
        <v>34</v>
      </c>
      <c r="C5" s="9" t="s">
        <v>76</v>
      </c>
      <c r="D5" s="9" t="s">
        <v>39</v>
      </c>
      <c r="E5" s="9" t="s">
        <v>77</v>
      </c>
      <c r="F5" s="9" t="s">
        <v>78</v>
      </c>
      <c r="G5" s="9" t="s">
        <v>79</v>
      </c>
      <c r="H5" s="9" t="s">
        <v>80</v>
      </c>
    </row>
    <row r="6" spans="2:8" ht="33" customHeight="1" x14ac:dyDescent="0.2">
      <c r="B6" s="9" t="s">
        <v>42</v>
      </c>
      <c r="C6" s="9" t="s">
        <v>81</v>
      </c>
      <c r="D6" s="9" t="s">
        <v>46</v>
      </c>
      <c r="E6" s="9" t="s">
        <v>82</v>
      </c>
      <c r="F6" s="9" t="s">
        <v>83</v>
      </c>
      <c r="G6" s="9" t="s">
        <v>84</v>
      </c>
      <c r="H6" s="9" t="s">
        <v>85</v>
      </c>
    </row>
    <row r="7" spans="2:8" ht="31.5" customHeight="1" x14ac:dyDescent="0.2">
      <c r="B7" s="9" t="s">
        <v>47</v>
      </c>
      <c r="C7" s="9" t="s">
        <v>76</v>
      </c>
      <c r="D7" s="9" t="s">
        <v>51</v>
      </c>
      <c r="E7" s="9" t="s">
        <v>86</v>
      </c>
      <c r="F7" s="9" t="s">
        <v>87</v>
      </c>
      <c r="G7" s="9" t="s">
        <v>88</v>
      </c>
      <c r="H7" s="9" t="s">
        <v>89</v>
      </c>
    </row>
    <row r="8" spans="2:8" ht="32.25" customHeight="1" x14ac:dyDescent="0.2">
      <c r="B8" s="9" t="s">
        <v>52</v>
      </c>
      <c r="C8" s="9" t="s">
        <v>76</v>
      </c>
      <c r="D8" s="9" t="s">
        <v>56</v>
      </c>
      <c r="E8" s="9" t="s">
        <v>57</v>
      </c>
      <c r="F8" s="9" t="s">
        <v>90</v>
      </c>
      <c r="G8" s="9" t="s">
        <v>91</v>
      </c>
      <c r="H8" s="9" t="s">
        <v>92</v>
      </c>
    </row>
    <row r="9" spans="2:8" ht="36" customHeight="1" x14ac:dyDescent="0.2">
      <c r="B9" s="9" t="s">
        <v>58</v>
      </c>
      <c r="C9" s="9" t="s">
        <v>76</v>
      </c>
      <c r="D9" s="9" t="s">
        <v>39</v>
      </c>
      <c r="E9" s="9" t="s">
        <v>62</v>
      </c>
      <c r="F9" s="9" t="s">
        <v>93</v>
      </c>
      <c r="G9" s="9" t="s">
        <v>94</v>
      </c>
      <c r="H9" s="9" t="s">
        <v>95</v>
      </c>
    </row>
    <row r="10" spans="2:8" ht="36.75" customHeight="1" x14ac:dyDescent="0.2">
      <c r="B10" s="9" t="s">
        <v>63</v>
      </c>
      <c r="C10" s="9" t="s">
        <v>76</v>
      </c>
      <c r="D10" s="9" t="s">
        <v>67</v>
      </c>
      <c r="E10" s="9" t="s">
        <v>68</v>
      </c>
      <c r="F10" s="9" t="s">
        <v>90</v>
      </c>
      <c r="G10" s="9" t="s">
        <v>96</v>
      </c>
      <c r="H10" s="9" t="s">
        <v>97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1"/>
  <sheetViews>
    <sheetView showGridLines="0" workbookViewId="0">
      <selection activeCell="E17" sqref="E17"/>
    </sheetView>
  </sheetViews>
  <sheetFormatPr defaultRowHeight="14.25" x14ac:dyDescent="0.2"/>
  <cols>
    <col min="1" max="1" width="3.28515625" style="1" customWidth="1"/>
    <col min="2" max="2" width="32" style="1" customWidth="1"/>
    <col min="3" max="3" width="15" style="1" customWidth="1"/>
    <col min="4" max="4" width="22" style="1" customWidth="1"/>
    <col min="5" max="5" width="14" style="1" customWidth="1"/>
    <col min="6" max="6" width="16" style="1" customWidth="1"/>
    <col min="7" max="7" width="18" style="1" customWidth="1"/>
    <col min="8" max="8" width="16" style="1" customWidth="1"/>
    <col min="9" max="9" width="34" style="1" customWidth="1"/>
    <col min="10" max="16384" width="9.140625" style="1"/>
  </cols>
  <sheetData>
    <row r="2" spans="2:9" ht="15.75" x14ac:dyDescent="0.2">
      <c r="B2" s="3" t="s">
        <v>98</v>
      </c>
      <c r="C2" s="6"/>
      <c r="D2" s="6"/>
      <c r="E2" s="6"/>
      <c r="F2" s="6"/>
      <c r="G2" s="6"/>
      <c r="H2" s="6"/>
      <c r="I2" s="6"/>
    </row>
    <row r="4" spans="2:9" s="7" customFormat="1" ht="30" x14ac:dyDescent="0.2">
      <c r="B4" s="10" t="s">
        <v>99</v>
      </c>
      <c r="C4" s="10" t="s">
        <v>100</v>
      </c>
      <c r="D4" s="10" t="s">
        <v>101</v>
      </c>
      <c r="E4" s="10" t="s">
        <v>102</v>
      </c>
      <c r="F4" s="10" t="s">
        <v>103</v>
      </c>
      <c r="G4" s="10" t="s">
        <v>104</v>
      </c>
      <c r="H4" s="10" t="s">
        <v>105</v>
      </c>
      <c r="I4" s="10" t="s">
        <v>106</v>
      </c>
    </row>
    <row r="5" spans="2:9" ht="38.1" customHeight="1" x14ac:dyDescent="0.2">
      <c r="B5" s="11" t="s">
        <v>107</v>
      </c>
      <c r="C5" s="11" t="s">
        <v>108</v>
      </c>
      <c r="D5" s="11" t="s">
        <v>109</v>
      </c>
      <c r="E5" s="11" t="s">
        <v>109</v>
      </c>
      <c r="F5" s="11" t="s">
        <v>109</v>
      </c>
      <c r="G5" s="11" t="s">
        <v>108</v>
      </c>
      <c r="H5" s="11" t="s">
        <v>108</v>
      </c>
      <c r="I5" s="11" t="s">
        <v>110</v>
      </c>
    </row>
    <row r="6" spans="2:9" ht="38.1" customHeight="1" x14ac:dyDescent="0.2">
      <c r="B6" s="11" t="s">
        <v>111</v>
      </c>
      <c r="C6" s="11" t="s">
        <v>112</v>
      </c>
      <c r="D6" s="11" t="s">
        <v>108</v>
      </c>
      <c r="E6" s="11" t="s">
        <v>112</v>
      </c>
      <c r="F6" s="11" t="s">
        <v>109</v>
      </c>
      <c r="G6" s="11" t="s">
        <v>112</v>
      </c>
      <c r="H6" s="11" t="s">
        <v>112</v>
      </c>
      <c r="I6" s="11" t="s">
        <v>113</v>
      </c>
    </row>
    <row r="7" spans="2:9" ht="38.1" customHeight="1" x14ac:dyDescent="0.2">
      <c r="B7" s="11" t="s">
        <v>114</v>
      </c>
      <c r="C7" s="11" t="s">
        <v>109</v>
      </c>
      <c r="D7" s="11" t="s">
        <v>115</v>
      </c>
      <c r="E7" s="11" t="s">
        <v>115</v>
      </c>
      <c r="F7" s="11" t="s">
        <v>112</v>
      </c>
      <c r="G7" s="11" t="s">
        <v>115</v>
      </c>
      <c r="H7" s="11" t="s">
        <v>109</v>
      </c>
      <c r="I7" s="11" t="s">
        <v>116</v>
      </c>
    </row>
    <row r="8" spans="2:9" ht="38.1" customHeight="1" x14ac:dyDescent="0.2">
      <c r="B8" s="11" t="s">
        <v>117</v>
      </c>
      <c r="C8" s="11" t="s">
        <v>109</v>
      </c>
      <c r="D8" s="11" t="s">
        <v>115</v>
      </c>
      <c r="E8" s="11" t="s">
        <v>109</v>
      </c>
      <c r="F8" s="11" t="s">
        <v>109</v>
      </c>
      <c r="G8" s="11" t="s">
        <v>109</v>
      </c>
      <c r="H8" s="11" t="s">
        <v>112</v>
      </c>
      <c r="I8" s="11" t="s">
        <v>118</v>
      </c>
    </row>
    <row r="9" spans="2:9" ht="38.1" customHeight="1" x14ac:dyDescent="0.2">
      <c r="B9" s="11" t="s">
        <v>66</v>
      </c>
      <c r="C9" s="11" t="s">
        <v>109</v>
      </c>
      <c r="D9" s="11" t="s">
        <v>115</v>
      </c>
      <c r="E9" s="11" t="s">
        <v>115</v>
      </c>
      <c r="F9" s="11" t="s">
        <v>108</v>
      </c>
      <c r="G9" s="11" t="s">
        <v>115</v>
      </c>
      <c r="H9" s="11" t="s">
        <v>109</v>
      </c>
      <c r="I9" s="11" t="s">
        <v>119</v>
      </c>
    </row>
    <row r="10" spans="2:9" x14ac:dyDescent="0.2">
      <c r="C10" s="7"/>
      <c r="D10" s="7"/>
      <c r="E10" s="7"/>
      <c r="F10" s="7"/>
      <c r="G10" s="7"/>
      <c r="H10" s="7"/>
    </row>
    <row r="11" spans="2:9" x14ac:dyDescent="0.2">
      <c r="C11" s="7"/>
      <c r="D11" s="7"/>
      <c r="E11" s="7"/>
      <c r="F11" s="7"/>
      <c r="G11" s="7"/>
      <c r="H11" s="7"/>
    </row>
  </sheetData>
  <mergeCells count="1"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"/>
  <sheetViews>
    <sheetView showGridLines="0" workbookViewId="0">
      <selection activeCell="C13" sqref="C13"/>
    </sheetView>
  </sheetViews>
  <sheetFormatPr defaultRowHeight="14.25" x14ac:dyDescent="0.2"/>
  <cols>
    <col min="1" max="1" width="9.140625" style="1"/>
    <col min="2" max="2" width="26" style="1" customWidth="1"/>
    <col min="3" max="3" width="24" style="1" customWidth="1"/>
    <col min="4" max="4" width="14" style="1" customWidth="1"/>
    <col min="5" max="5" width="26" style="1" customWidth="1"/>
    <col min="6" max="6" width="38" style="1" customWidth="1"/>
    <col min="7" max="7" width="22" style="1" customWidth="1"/>
    <col min="8" max="8" width="28" style="1" customWidth="1"/>
    <col min="9" max="9" width="12" style="1" customWidth="1"/>
    <col min="10" max="16384" width="9.140625" style="1"/>
  </cols>
  <sheetData>
    <row r="2" spans="2:9" ht="15.75" x14ac:dyDescent="0.2">
      <c r="B2" s="3" t="s">
        <v>120</v>
      </c>
      <c r="C2" s="6"/>
      <c r="D2" s="6"/>
      <c r="E2" s="6"/>
      <c r="F2" s="6"/>
      <c r="G2" s="6"/>
      <c r="H2" s="6"/>
      <c r="I2" s="6"/>
    </row>
    <row r="4" spans="2:9" s="7" customFormat="1" ht="15" x14ac:dyDescent="0.2">
      <c r="B4" s="10" t="s">
        <v>121</v>
      </c>
      <c r="C4" s="10" t="s">
        <v>122</v>
      </c>
      <c r="D4" s="10" t="s">
        <v>123</v>
      </c>
      <c r="E4" s="10" t="s">
        <v>124</v>
      </c>
      <c r="F4" s="10" t="s">
        <v>125</v>
      </c>
      <c r="G4" s="10" t="s">
        <v>126</v>
      </c>
      <c r="H4" s="10" t="s">
        <v>127</v>
      </c>
      <c r="I4" s="10" t="s">
        <v>33</v>
      </c>
    </row>
    <row r="5" spans="2:9" ht="42" customHeight="1" x14ac:dyDescent="0.2">
      <c r="B5" s="9" t="s">
        <v>128</v>
      </c>
      <c r="C5" s="9" t="s">
        <v>129</v>
      </c>
      <c r="D5" s="9" t="s">
        <v>38</v>
      </c>
      <c r="E5" s="9" t="s">
        <v>130</v>
      </c>
      <c r="F5" s="9" t="s">
        <v>131</v>
      </c>
      <c r="G5" s="9" t="s">
        <v>66</v>
      </c>
      <c r="H5" s="9" t="s">
        <v>132</v>
      </c>
      <c r="I5" s="9" t="s">
        <v>133</v>
      </c>
    </row>
    <row r="6" spans="2:9" ht="42" customHeight="1" x14ac:dyDescent="0.2">
      <c r="B6" s="9" t="s">
        <v>134</v>
      </c>
      <c r="C6" s="9" t="s">
        <v>129</v>
      </c>
      <c r="D6" s="9" t="s">
        <v>38</v>
      </c>
      <c r="E6" s="9" t="s">
        <v>135</v>
      </c>
      <c r="F6" s="9" t="s">
        <v>136</v>
      </c>
      <c r="G6" s="9" t="s">
        <v>61</v>
      </c>
      <c r="H6" s="9" t="s">
        <v>137</v>
      </c>
      <c r="I6" s="9" t="s">
        <v>133</v>
      </c>
    </row>
    <row r="7" spans="2:9" ht="42" customHeight="1" x14ac:dyDescent="0.2">
      <c r="B7" s="9" t="s">
        <v>138</v>
      </c>
      <c r="C7" s="9" t="s">
        <v>139</v>
      </c>
      <c r="D7" s="9" t="s">
        <v>38</v>
      </c>
      <c r="E7" s="9" t="s">
        <v>140</v>
      </c>
      <c r="F7" s="9" t="s">
        <v>141</v>
      </c>
      <c r="G7" s="9" t="s">
        <v>50</v>
      </c>
      <c r="H7" s="9" t="s">
        <v>137</v>
      </c>
      <c r="I7" s="9" t="s">
        <v>133</v>
      </c>
    </row>
    <row r="8" spans="2:9" ht="42" customHeight="1" x14ac:dyDescent="0.2">
      <c r="B8" s="9" t="s">
        <v>142</v>
      </c>
      <c r="C8" s="9" t="s">
        <v>129</v>
      </c>
      <c r="D8" s="9" t="s">
        <v>38</v>
      </c>
      <c r="E8" s="9" t="s">
        <v>135</v>
      </c>
      <c r="F8" s="9" t="s">
        <v>143</v>
      </c>
      <c r="G8" s="9" t="s">
        <v>45</v>
      </c>
      <c r="H8" s="9" t="s">
        <v>137</v>
      </c>
      <c r="I8" s="9" t="s">
        <v>133</v>
      </c>
    </row>
    <row r="9" spans="2:9" ht="42" customHeight="1" x14ac:dyDescent="0.2">
      <c r="B9" s="9" t="s">
        <v>144</v>
      </c>
      <c r="C9" s="9" t="s">
        <v>145</v>
      </c>
      <c r="D9" s="9" t="s">
        <v>146</v>
      </c>
      <c r="E9" s="9" t="s">
        <v>147</v>
      </c>
      <c r="F9" s="9" t="s">
        <v>148</v>
      </c>
      <c r="G9" s="9" t="s">
        <v>66</v>
      </c>
      <c r="H9" s="9" t="s">
        <v>149</v>
      </c>
      <c r="I9" s="9" t="s">
        <v>133</v>
      </c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0"/>
  <sheetViews>
    <sheetView showGridLines="0" tabSelected="1" workbookViewId="0">
      <selection activeCell="I26" sqref="I26"/>
    </sheetView>
  </sheetViews>
  <sheetFormatPr defaultRowHeight="14.25" x14ac:dyDescent="0.2"/>
  <cols>
    <col min="1" max="1" width="9.140625" style="1"/>
    <col min="2" max="2" width="30" style="1" customWidth="1"/>
    <col min="3" max="6" width="14" style="1" customWidth="1"/>
    <col min="7" max="7" width="22" style="1" customWidth="1"/>
    <col min="8" max="8" width="38" style="1" customWidth="1"/>
    <col min="9" max="16384" width="9.140625" style="1"/>
  </cols>
  <sheetData>
    <row r="2" spans="2:8" ht="15.75" x14ac:dyDescent="0.2">
      <c r="B2" s="3" t="s">
        <v>150</v>
      </c>
      <c r="C2" s="6"/>
      <c r="D2" s="6"/>
      <c r="E2" s="6"/>
      <c r="F2" s="6"/>
      <c r="G2" s="6"/>
      <c r="H2" s="6"/>
    </row>
    <row r="4" spans="2:8" s="7" customFormat="1" ht="30" x14ac:dyDescent="0.2">
      <c r="B4" s="10" t="s">
        <v>151</v>
      </c>
      <c r="C4" s="10" t="s">
        <v>152</v>
      </c>
      <c r="D4" s="10" t="s">
        <v>153</v>
      </c>
      <c r="E4" s="10" t="s">
        <v>154</v>
      </c>
      <c r="F4" s="10" t="s">
        <v>155</v>
      </c>
      <c r="G4" s="10" t="s">
        <v>126</v>
      </c>
      <c r="H4" s="10" t="s">
        <v>156</v>
      </c>
    </row>
    <row r="5" spans="2:8" ht="30.75" customHeight="1" x14ac:dyDescent="0.2">
      <c r="B5" s="9" t="s">
        <v>157</v>
      </c>
      <c r="C5" s="11">
        <v>0</v>
      </c>
      <c r="D5" s="11">
        <v>6</v>
      </c>
      <c r="E5" s="11">
        <f>'Project Overview'!C12</f>
        <v>6</v>
      </c>
      <c r="F5" s="11">
        <f>D5-E5</f>
        <v>0</v>
      </c>
      <c r="G5" s="9" t="s">
        <v>158</v>
      </c>
      <c r="H5" s="9" t="s">
        <v>159</v>
      </c>
    </row>
    <row r="6" spans="2:8" ht="23.25" customHeight="1" x14ac:dyDescent="0.2">
      <c r="B6" s="9" t="s">
        <v>160</v>
      </c>
      <c r="C6" s="11">
        <v>0</v>
      </c>
      <c r="D6" s="11">
        <v>3</v>
      </c>
      <c r="E6" s="11" t="str">
        <f>'Project Overview'!C14</f>
        <v>3</v>
      </c>
      <c r="F6" s="11">
        <f>D6-E6</f>
        <v>0</v>
      </c>
      <c r="G6" s="9" t="s">
        <v>37</v>
      </c>
      <c r="H6" s="9" t="s">
        <v>161</v>
      </c>
    </row>
    <row r="7" spans="2:8" ht="21.75" customHeight="1" x14ac:dyDescent="0.2">
      <c r="B7" s="9" t="s">
        <v>162</v>
      </c>
      <c r="C7" s="11">
        <v>0</v>
      </c>
      <c r="D7" s="11">
        <v>5</v>
      </c>
      <c r="E7" s="11">
        <f>'Project Overview'!C15</f>
        <v>5</v>
      </c>
      <c r="F7" s="11">
        <f>D7-E7</f>
        <v>0</v>
      </c>
      <c r="G7" s="9" t="s">
        <v>158</v>
      </c>
      <c r="H7" s="9" t="s">
        <v>163</v>
      </c>
    </row>
    <row r="8" spans="2:8" ht="33" customHeight="1" x14ac:dyDescent="0.2">
      <c r="B8" s="9" t="s">
        <v>164</v>
      </c>
      <c r="C8" s="11">
        <v>0</v>
      </c>
      <c r="D8" s="11">
        <v>5</v>
      </c>
      <c r="E8" s="11">
        <f>'Project Overview'!C16</f>
        <v>5</v>
      </c>
      <c r="F8" s="11">
        <f>D8-E8</f>
        <v>0</v>
      </c>
      <c r="G8" s="9" t="s">
        <v>66</v>
      </c>
      <c r="H8" s="9" t="s">
        <v>165</v>
      </c>
    </row>
    <row r="9" spans="2:8" ht="30" customHeight="1" x14ac:dyDescent="0.2">
      <c r="B9" s="9" t="s">
        <v>166</v>
      </c>
      <c r="C9" s="11">
        <v>0</v>
      </c>
      <c r="D9" s="11">
        <v>6</v>
      </c>
      <c r="E9" s="11">
        <f>COUNTIF('Policy Inventory'!F5:F10,"Annual")</f>
        <v>6</v>
      </c>
      <c r="F9" s="11">
        <f>D9-E9</f>
        <v>0</v>
      </c>
      <c r="G9" s="9" t="s">
        <v>61</v>
      </c>
      <c r="H9" s="9" t="s">
        <v>167</v>
      </c>
    </row>
    <row r="10" spans="2:8" x14ac:dyDescent="0.2">
      <c r="C10" s="7"/>
      <c r="D10" s="7"/>
      <c r="E10" s="7"/>
      <c r="F10" s="7"/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Policy Inventory</vt:lpstr>
      <vt:lpstr>Framework Mapping</vt:lpstr>
      <vt:lpstr>Governance RACI</vt:lpstr>
      <vt:lpstr>Awareness Program</vt:lpstr>
      <vt:lpstr>Outcomes &amp;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Dukes</dc:creator>
  <cp:lastModifiedBy>Malik Dukes</cp:lastModifiedBy>
  <dcterms:created xsi:type="dcterms:W3CDTF">2026-03-16T04:21:54Z</dcterms:created>
  <dcterms:modified xsi:type="dcterms:W3CDTF">2026-03-16T04:21:54Z</dcterms:modified>
</cp:coreProperties>
</file>